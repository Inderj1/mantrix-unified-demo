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xxtspinellc-my.sharepoint.com/personal/mcole_nexxtspine_com/Documents/Desktop/"/>
    </mc:Choice>
  </mc:AlternateContent>
  <xr:revisionPtr revIDLastSave="0" documentId="8_{A6FF53F3-C3E8-48EE-B341-2DD5D664B8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Sheet1!$A$1:$Q$67</definedName>
    <definedName name="_xlnm.Print_Titles" localSheetId="0">Sheet1!$1:$2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" i="1" l="1"/>
  <c r="K63" i="1"/>
  <c r="K58" i="1"/>
  <c r="K57" i="1"/>
  <c r="K54" i="1"/>
  <c r="K49" i="1"/>
  <c r="K51" i="1"/>
  <c r="K53" i="1"/>
  <c r="K52" i="1"/>
  <c r="K50" i="1"/>
  <c r="K44" i="1"/>
  <c r="K45" i="1"/>
  <c r="K46" i="1"/>
  <c r="K43" i="1"/>
  <c r="K31" i="1"/>
  <c r="K30" i="1"/>
  <c r="K59" i="1" l="1"/>
  <c r="K61" i="1" s="1"/>
  <c r="K65" i="1"/>
  <c r="K55" i="1"/>
  <c r="K47" i="1"/>
  <c r="K38" i="1"/>
  <c r="K37" i="1"/>
  <c r="K34" i="1"/>
  <c r="K33" i="1"/>
  <c r="K32" i="1"/>
  <c r="K15" i="1"/>
  <c r="K20" i="1"/>
  <c r="K21" i="1"/>
  <c r="K22" i="1"/>
  <c r="K23" i="1"/>
  <c r="K24" i="1"/>
  <c r="K25" i="1"/>
  <c r="K16" i="1"/>
  <c r="K17" i="1"/>
  <c r="G5" i="1"/>
  <c r="G7" i="1"/>
  <c r="K7" i="1" s="1"/>
  <c r="K10" i="1"/>
  <c r="K9" i="1"/>
  <c r="K39" i="1" l="1"/>
  <c r="K41" i="1" s="1"/>
  <c r="K35" i="1"/>
  <c r="K18" i="1"/>
  <c r="K26" i="1"/>
  <c r="K28" i="1" s="1"/>
  <c r="K11" i="1"/>
  <c r="K5" i="1"/>
  <c r="K13" i="1" l="1"/>
</calcChain>
</file>

<file path=xl/sharedStrings.xml><?xml version="1.0" encoding="utf-8"?>
<sst xmlns="http://schemas.openxmlformats.org/spreadsheetml/2006/main" count="200" uniqueCount="68">
  <si>
    <t>Hospital</t>
  </si>
  <si>
    <t>Dollar Total</t>
  </si>
  <si>
    <t>PO Arrive Date</t>
  </si>
  <si>
    <t>PO #</t>
  </si>
  <si>
    <t>Surgery Date</t>
  </si>
  <si>
    <t>Commission %</t>
  </si>
  <si>
    <t>Surgeon</t>
  </si>
  <si>
    <t>Notes:</t>
  </si>
  <si>
    <t>Jan</t>
  </si>
  <si>
    <t>Rep</t>
  </si>
  <si>
    <t>Trained</t>
  </si>
  <si>
    <t>Methodist Hospital for Surgery Addison</t>
  </si>
  <si>
    <t>YES</t>
  </si>
  <si>
    <t>Denning</t>
  </si>
  <si>
    <t>Rita Rubio</t>
  </si>
  <si>
    <t>Total</t>
  </si>
  <si>
    <t>50% for all other sales at Methodist-Addison</t>
  </si>
  <si>
    <t>40% to any other facility</t>
  </si>
  <si>
    <r>
      <t xml:space="preserve">70% for </t>
    </r>
    <r>
      <rPr>
        <sz val="10"/>
        <color rgb="FFC00000"/>
        <rFont val="Tahoma"/>
        <family val="2"/>
      </rPr>
      <t>HIGH DEMAND</t>
    </r>
    <r>
      <rPr>
        <sz val="10"/>
        <color theme="1"/>
        <rFont val="Tahoma"/>
        <family val="2"/>
      </rPr>
      <t xml:space="preserve"> cases at Methodist-Addison</t>
    </r>
  </si>
  <si>
    <t>Leap Surgical, LLC - Jonathan Knickerbocker - V1923 DD</t>
  </si>
  <si>
    <t>Brian Mason</t>
  </si>
  <si>
    <t>Krumerman</t>
  </si>
  <si>
    <t>Cervical Matrixx = Low Demand</t>
  </si>
  <si>
    <t>Taub</t>
  </si>
  <si>
    <t>Corpectomy = High Demand</t>
  </si>
  <si>
    <t>jonathan@leapsurgical.com</t>
  </si>
  <si>
    <t>Sept</t>
  </si>
  <si>
    <t>Oct</t>
  </si>
  <si>
    <t>Desaloms</t>
  </si>
  <si>
    <t>155806</t>
  </si>
  <si>
    <t>Struxxure = Low Demand; Case Total changed from $2,780 to $2,545 due to In/Out Screws. Deduct on next commission run (2/20/25)!</t>
  </si>
  <si>
    <t>Struxxure = Low Demand; Case Total changed from $2,610 to $2,510 due to less quantity of Fixation pins used in case. Deduct on next commission run (2/20/25)!</t>
  </si>
  <si>
    <t>Feb</t>
  </si>
  <si>
    <t>Medical City Frisco - HCA</t>
  </si>
  <si>
    <t>Scott Bricker</t>
  </si>
  <si>
    <t>NO</t>
  </si>
  <si>
    <t>Shanks</t>
  </si>
  <si>
    <t>Jonathan Knickerbocker</t>
  </si>
  <si>
    <t>Mar</t>
  </si>
  <si>
    <t>Satyan</t>
  </si>
  <si>
    <t>Johnson</t>
  </si>
  <si>
    <t>Legent Orthopedic Hospital Carrollton</t>
  </si>
  <si>
    <t>Struxxure/Cervical Matrixx = Low Demand</t>
  </si>
  <si>
    <t>SA Cervical = High Demand</t>
  </si>
  <si>
    <t>Apr</t>
  </si>
  <si>
    <t>Matrixx rTLIF Training Completed on 4/15/25!</t>
  </si>
  <si>
    <t>Reese Payne</t>
  </si>
  <si>
    <t>SA ALIF = High Demand</t>
  </si>
  <si>
    <t>May</t>
  </si>
  <si>
    <t>Baylor Regional Medical Center at Plano</t>
  </si>
  <si>
    <t>18087</t>
  </si>
  <si>
    <t>Jun</t>
  </si>
  <si>
    <t>Cervical Matrixx = Low Demand; Cervical Matrixx Training Completed on 5/19/25!</t>
  </si>
  <si>
    <t>Corpectomy = High Demand; Corpectomy Training Completed on 5/19/25!</t>
  </si>
  <si>
    <t>Chris Pittman</t>
  </si>
  <si>
    <t>Rubin</t>
  </si>
  <si>
    <t>Methodist Dallas Medical Center</t>
  </si>
  <si>
    <t>Giri</t>
  </si>
  <si>
    <t>PO-1422104</t>
  </si>
  <si>
    <t>*Needs Corpectomy Training Completed!</t>
  </si>
  <si>
    <t>Jul</t>
  </si>
  <si>
    <t>Patel</t>
  </si>
  <si>
    <t>167005</t>
  </si>
  <si>
    <t>Aug</t>
  </si>
  <si>
    <t>Saxxony = Low Demand</t>
  </si>
  <si>
    <t>commissions@leapdistributors.com</t>
  </si>
  <si>
    <t>168346</t>
  </si>
  <si>
    <t>Struxxure = Low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</si>
</sst>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sz val="10"/>
      <color rgb="FFC00000"/>
      <name val="Tahoma"/>
      <family val="2"/>
    </font>
    <font>
      <sz val="10"/>
      <color rgb="FFFFFF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64" fontId="2" fillId="0" borderId="0" xfId="3" applyNumberFormat="1" applyAlignment="1" applyProtection="1">
      <alignment horizontal="right"/>
    </xf>
    <xf numFmtId="14" fontId="5" fillId="0" borderId="0" xfId="0" applyNumberFormat="1" applyFont="1"/>
    <xf numFmtId="164" fontId="5" fillId="0" borderId="1" xfId="1" applyNumberFormat="1" applyFont="1" applyFill="1" applyBorder="1"/>
    <xf numFmtId="164" fontId="5" fillId="0" borderId="0" xfId="1" applyNumberFormat="1" applyFont="1" applyFill="1" applyBorder="1"/>
    <xf numFmtId="14" fontId="6" fillId="0" borderId="1" xfId="0" applyNumberFormat="1" applyFont="1" applyBorder="1" applyAlignment="1">
      <alignment horizontal="center"/>
    </xf>
    <xf numFmtId="9" fontId="6" fillId="0" borderId="3" xfId="2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shrinkToFit="1"/>
    </xf>
    <xf numFmtId="0" fontId="6" fillId="0" borderId="0" xfId="0" applyFont="1"/>
    <xf numFmtId="0" fontId="8" fillId="0" borderId="0" xfId="0" applyFont="1"/>
    <xf numFmtId="14" fontId="6" fillId="0" borderId="0" xfId="0" applyNumberFormat="1" applyFont="1" applyAlignment="1">
      <alignment horizontal="center"/>
    </xf>
    <xf numFmtId="9" fontId="6" fillId="0" borderId="0" xfId="2" applyFont="1" applyFill="1" applyBorder="1" applyAlignment="1">
      <alignment horizontal="center"/>
    </xf>
    <xf numFmtId="9" fontId="6" fillId="0" borderId="1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shrinkToFit="1"/>
    </xf>
    <xf numFmtId="164" fontId="5" fillId="0" borderId="2" xfId="1" applyNumberFormat="1" applyFont="1" applyFill="1" applyBorder="1"/>
    <xf numFmtId="164" fontId="6" fillId="0" borderId="1" xfId="1" applyNumberFormat="1" applyFont="1" applyFill="1" applyBorder="1"/>
    <xf numFmtId="164" fontId="6" fillId="0" borderId="2" xfId="1" applyNumberFormat="1" applyFont="1" applyFill="1" applyBorder="1"/>
    <xf numFmtId="164" fontId="6" fillId="0" borderId="0" xfId="1" applyNumberFormat="1" applyFont="1" applyFill="1" applyBorder="1"/>
    <xf numFmtId="0" fontId="6" fillId="3" borderId="1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shrinkToFit="1"/>
    </xf>
    <xf numFmtId="164" fontId="6" fillId="3" borderId="1" xfId="1" applyNumberFormat="1" applyFont="1" applyFill="1" applyBorder="1"/>
    <xf numFmtId="0" fontId="7" fillId="0" borderId="0" xfId="0" applyFont="1"/>
    <xf numFmtId="164" fontId="5" fillId="2" borderId="2" xfId="1" applyNumberFormat="1" applyFont="1" applyFill="1" applyBorder="1"/>
    <xf numFmtId="0" fontId="2" fillId="0" borderId="0" xfId="3" applyAlignment="1" applyProtection="1">
      <alignment horizontal="righ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mmissions@leapdistributors.com" TargetMode="External"/><Relationship Id="rId1" Type="http://schemas.openxmlformats.org/officeDocument/2006/relationships/hyperlink" Target="mailto:jonathan@leapsurgic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7"/>
  <sheetViews>
    <sheetView tabSelected="1" view="pageBreakPreview" zoomScaleNormal="100" zoomScaleSheetLayoutView="100" workbookViewId="0">
      <pane xSplit="1" ySplit="3" topLeftCell="B30" activePane="bottomRight" state="frozen"/>
      <selection pane="topRight" activeCell="B1" sqref="B1"/>
      <selection pane="bottomLeft" activeCell="A4" sqref="A4"/>
      <selection pane="bottomRight" activeCell="M75" sqref="M75"/>
    </sheetView>
  </sheetViews>
  <sheetFormatPr defaultColWidth="8.85546875" defaultRowHeight="12.75" x14ac:dyDescent="0.2"/>
  <cols>
    <col min="1" max="1" width="4.7109375" style="4" customWidth="1"/>
    <col min="2" max="2" width="11" style="6" customWidth="1"/>
    <col min="3" max="3" width="34.28515625" style="4" bestFit="1" customWidth="1"/>
    <col min="4" max="4" width="20.42578125" style="6" bestFit="1" customWidth="1"/>
    <col min="5" max="5" width="7.140625" style="4" bestFit="1" customWidth="1"/>
    <col min="6" max="6" width="10.5703125" style="6" bestFit="1" customWidth="1"/>
    <col min="7" max="7" width="10.28515625" style="5" customWidth="1"/>
    <col min="8" max="8" width="11.140625" style="6" customWidth="1"/>
    <col min="9" max="9" width="13.85546875" style="6" customWidth="1"/>
    <col min="10" max="10" width="11" style="6" customWidth="1"/>
    <col min="11" max="11" width="26" style="7" customWidth="1"/>
    <col min="12" max="12" width="9.42578125" style="4" bestFit="1" customWidth="1"/>
    <col min="13" max="16384" width="8.85546875" style="4"/>
  </cols>
  <sheetData>
    <row r="1" spans="1:16" s="1" customFormat="1" ht="30" customHeight="1" x14ac:dyDescent="0.2">
      <c r="B1" s="2" t="s">
        <v>4</v>
      </c>
      <c r="C1" s="2" t="s">
        <v>0</v>
      </c>
      <c r="D1" s="2" t="s">
        <v>9</v>
      </c>
      <c r="E1" s="2" t="s">
        <v>10</v>
      </c>
      <c r="F1" s="2" t="s">
        <v>6</v>
      </c>
      <c r="G1" s="3" t="s">
        <v>1</v>
      </c>
      <c r="H1" s="2" t="s">
        <v>2</v>
      </c>
      <c r="I1" s="2" t="s">
        <v>3</v>
      </c>
      <c r="J1" s="2" t="s">
        <v>5</v>
      </c>
      <c r="K1" s="3" t="s">
        <v>19</v>
      </c>
      <c r="L1" s="1" t="s">
        <v>7</v>
      </c>
      <c r="M1" s="4" t="s">
        <v>18</v>
      </c>
      <c r="N1" s="4"/>
      <c r="O1" s="4"/>
      <c r="P1" s="4"/>
    </row>
    <row r="2" spans="1:16" ht="15" x14ac:dyDescent="0.25">
      <c r="K2" s="12" t="s">
        <v>25</v>
      </c>
      <c r="L2" s="13">
        <v>45184</v>
      </c>
      <c r="M2" s="4" t="s">
        <v>16</v>
      </c>
      <c r="N2" s="1"/>
      <c r="O2" s="1"/>
      <c r="P2" s="1"/>
    </row>
    <row r="3" spans="1:16" ht="15" x14ac:dyDescent="0.25">
      <c r="K3" s="38" t="s">
        <v>65</v>
      </c>
      <c r="M3" s="4" t="s">
        <v>17</v>
      </c>
    </row>
    <row r="5" spans="1:16" x14ac:dyDescent="0.2">
      <c r="A5" s="4" t="s">
        <v>26</v>
      </c>
      <c r="B5" s="16">
        <v>45565</v>
      </c>
      <c r="C5" s="8" t="s">
        <v>11</v>
      </c>
      <c r="D5" s="9" t="s">
        <v>20</v>
      </c>
      <c r="E5" s="9" t="s">
        <v>12</v>
      </c>
      <c r="F5" s="9" t="s">
        <v>21</v>
      </c>
      <c r="G5" s="10">
        <f>-(2780-2545)</f>
        <v>-235</v>
      </c>
      <c r="H5" s="11">
        <v>45603</v>
      </c>
      <c r="I5" s="18">
        <v>154574</v>
      </c>
      <c r="J5" s="17">
        <v>0.5</v>
      </c>
      <c r="K5" s="14">
        <f>IF(I5="",0,+G5*J5)</f>
        <v>-117.5</v>
      </c>
      <c r="L5" s="19" t="s">
        <v>30</v>
      </c>
    </row>
    <row r="6" spans="1:16" x14ac:dyDescent="0.2">
      <c r="H6" s="5"/>
      <c r="K6" s="15"/>
      <c r="L6" s="19"/>
    </row>
    <row r="7" spans="1:16" x14ac:dyDescent="0.2">
      <c r="A7" s="4" t="s">
        <v>27</v>
      </c>
      <c r="B7" s="16">
        <v>45593</v>
      </c>
      <c r="C7" s="8" t="s">
        <v>11</v>
      </c>
      <c r="D7" s="9" t="s">
        <v>14</v>
      </c>
      <c r="E7" s="9" t="s">
        <v>12</v>
      </c>
      <c r="F7" s="9" t="s">
        <v>28</v>
      </c>
      <c r="G7" s="10">
        <f>-(2610-2510)</f>
        <v>-100</v>
      </c>
      <c r="H7" s="11">
        <v>45608</v>
      </c>
      <c r="I7" s="18" t="s">
        <v>29</v>
      </c>
      <c r="J7" s="23">
        <v>0.5</v>
      </c>
      <c r="K7" s="14">
        <f t="shared" ref="K7" si="0">IF(I7="",0,+G7*J7)</f>
        <v>-50</v>
      </c>
      <c r="L7" s="19" t="s">
        <v>31</v>
      </c>
    </row>
    <row r="8" spans="1:16" x14ac:dyDescent="0.2">
      <c r="B8" s="21"/>
      <c r="C8" s="19"/>
      <c r="D8" s="24"/>
      <c r="E8" s="24"/>
      <c r="F8" s="24"/>
      <c r="G8" s="25"/>
      <c r="H8" s="26"/>
      <c r="I8" s="27"/>
      <c r="J8" s="22"/>
      <c r="K8" s="15"/>
      <c r="L8" s="20"/>
    </row>
    <row r="9" spans="1:16" x14ac:dyDescent="0.2">
      <c r="A9" s="4" t="s">
        <v>8</v>
      </c>
      <c r="B9" s="16">
        <v>45670</v>
      </c>
      <c r="C9" s="8" t="s">
        <v>11</v>
      </c>
      <c r="D9" s="9" t="s">
        <v>14</v>
      </c>
      <c r="E9" s="9" t="s">
        <v>12</v>
      </c>
      <c r="F9" s="9" t="s">
        <v>13</v>
      </c>
      <c r="G9" s="10">
        <v>900</v>
      </c>
      <c r="H9" s="11">
        <v>45692</v>
      </c>
      <c r="I9" s="18">
        <v>159005</v>
      </c>
      <c r="J9" s="17">
        <v>0.5</v>
      </c>
      <c r="K9" s="14">
        <f t="shared" ref="K9:K10" si="1">IF(I9="",0,+G9*J9)</f>
        <v>450</v>
      </c>
      <c r="L9" s="19" t="s">
        <v>22</v>
      </c>
    </row>
    <row r="10" spans="1:16" ht="13.5" thickBot="1" x14ac:dyDescent="0.25">
      <c r="B10" s="16">
        <v>45681</v>
      </c>
      <c r="C10" s="8" t="s">
        <v>11</v>
      </c>
      <c r="D10" s="9" t="s">
        <v>20</v>
      </c>
      <c r="E10" s="9" t="s">
        <v>12</v>
      </c>
      <c r="F10" s="9" t="s">
        <v>23</v>
      </c>
      <c r="G10" s="10">
        <v>13950</v>
      </c>
      <c r="H10" s="11">
        <v>45702</v>
      </c>
      <c r="I10" s="18">
        <v>159500</v>
      </c>
      <c r="J10" s="17">
        <v>0.7</v>
      </c>
      <c r="K10" s="14">
        <f t="shared" si="1"/>
        <v>9765</v>
      </c>
      <c r="L10" s="19" t="s">
        <v>24</v>
      </c>
    </row>
    <row r="11" spans="1:16" ht="13.5" thickBot="1" x14ac:dyDescent="0.25">
      <c r="H11" s="5"/>
      <c r="K11" s="28">
        <f>SUM(K9:K10)</f>
        <v>10215</v>
      </c>
    </row>
    <row r="12" spans="1:16" x14ac:dyDescent="0.2">
      <c r="H12" s="5"/>
      <c r="K12" s="15"/>
    </row>
    <row r="13" spans="1:16" x14ac:dyDescent="0.2">
      <c r="H13" s="5"/>
      <c r="J13" s="6" t="s">
        <v>15</v>
      </c>
      <c r="K13" s="15">
        <f>K11+K5+K7</f>
        <v>10047.5</v>
      </c>
    </row>
    <row r="14" spans="1:16" x14ac:dyDescent="0.2">
      <c r="H14" s="5"/>
      <c r="K14" s="15"/>
    </row>
    <row r="15" spans="1:16" x14ac:dyDescent="0.2">
      <c r="A15" s="4" t="s">
        <v>32</v>
      </c>
      <c r="B15" s="16">
        <v>45692</v>
      </c>
      <c r="C15" s="8" t="s">
        <v>33</v>
      </c>
      <c r="D15" s="9" t="s">
        <v>34</v>
      </c>
      <c r="E15" s="9" t="s">
        <v>35</v>
      </c>
      <c r="F15" s="9" t="s">
        <v>36</v>
      </c>
      <c r="G15" s="10">
        <v>2000</v>
      </c>
      <c r="H15" s="11">
        <v>45702</v>
      </c>
      <c r="I15" s="18">
        <v>639484</v>
      </c>
      <c r="J15" s="17">
        <v>0.4</v>
      </c>
      <c r="K15" s="29">
        <f t="shared" ref="K15:K17" si="2">IF(I15="",0,+G15*J15)</f>
        <v>800</v>
      </c>
      <c r="L15" s="19" t="s">
        <v>45</v>
      </c>
    </row>
    <row r="16" spans="1:16" x14ac:dyDescent="0.2">
      <c r="B16" s="16">
        <v>45708</v>
      </c>
      <c r="C16" s="8" t="s">
        <v>11</v>
      </c>
      <c r="D16" s="9" t="s">
        <v>14</v>
      </c>
      <c r="E16" s="9" t="s">
        <v>12</v>
      </c>
      <c r="F16" s="9" t="s">
        <v>13</v>
      </c>
      <c r="G16" s="10">
        <v>2700</v>
      </c>
      <c r="H16" s="11">
        <v>45727</v>
      </c>
      <c r="I16" s="18">
        <v>160554</v>
      </c>
      <c r="J16" s="17">
        <v>0.5</v>
      </c>
      <c r="K16" s="29">
        <f t="shared" si="2"/>
        <v>1350</v>
      </c>
      <c r="L16" s="19" t="s">
        <v>22</v>
      </c>
    </row>
    <row r="17" spans="1:12" ht="13.5" thickBot="1" x14ac:dyDescent="0.25">
      <c r="B17" s="16">
        <v>45709</v>
      </c>
      <c r="C17" s="8" t="s">
        <v>11</v>
      </c>
      <c r="D17" s="9" t="s">
        <v>37</v>
      </c>
      <c r="E17" s="9" t="s">
        <v>12</v>
      </c>
      <c r="F17" s="9" t="s">
        <v>13</v>
      </c>
      <c r="G17" s="10">
        <v>900</v>
      </c>
      <c r="H17" s="11">
        <v>45727</v>
      </c>
      <c r="I17" s="18">
        <v>160662</v>
      </c>
      <c r="J17" s="17">
        <v>0.5</v>
      </c>
      <c r="K17" s="29">
        <f t="shared" si="2"/>
        <v>450</v>
      </c>
      <c r="L17" s="19" t="s">
        <v>22</v>
      </c>
    </row>
    <row r="18" spans="1:12" ht="13.5" thickBot="1" x14ac:dyDescent="0.25">
      <c r="E18" s="19"/>
      <c r="F18" s="24"/>
      <c r="G18" s="25"/>
      <c r="H18" s="25"/>
      <c r="I18" s="24"/>
      <c r="J18" s="24"/>
      <c r="K18" s="30">
        <f>K16+K17</f>
        <v>1800</v>
      </c>
      <c r="L18" s="19"/>
    </row>
    <row r="19" spans="1:12" x14ac:dyDescent="0.2">
      <c r="E19" s="19"/>
      <c r="F19" s="24"/>
      <c r="G19" s="25"/>
      <c r="H19" s="25"/>
      <c r="I19" s="24"/>
      <c r="J19" s="24"/>
      <c r="K19" s="31"/>
      <c r="L19" s="19"/>
    </row>
    <row r="20" spans="1:12" x14ac:dyDescent="0.2">
      <c r="A20" s="4" t="s">
        <v>38</v>
      </c>
      <c r="B20" s="16">
        <v>45723</v>
      </c>
      <c r="C20" s="8" t="s">
        <v>11</v>
      </c>
      <c r="D20" s="9" t="s">
        <v>14</v>
      </c>
      <c r="E20" s="9" t="s">
        <v>12</v>
      </c>
      <c r="F20" s="9" t="s">
        <v>39</v>
      </c>
      <c r="G20" s="10">
        <v>5480</v>
      </c>
      <c r="H20" s="11">
        <v>45744</v>
      </c>
      <c r="I20" s="18">
        <v>161297</v>
      </c>
      <c r="J20" s="17">
        <v>0.5</v>
      </c>
      <c r="K20" s="29">
        <f t="shared" ref="K20:K25" si="3">IF(I20="",0,+G20*J20)</f>
        <v>2740</v>
      </c>
      <c r="L20" s="19" t="s">
        <v>42</v>
      </c>
    </row>
    <row r="21" spans="1:12" x14ac:dyDescent="0.2">
      <c r="B21" s="16">
        <v>45726</v>
      </c>
      <c r="C21" s="8" t="s">
        <v>11</v>
      </c>
      <c r="D21" s="9" t="s">
        <v>20</v>
      </c>
      <c r="E21" s="9" t="s">
        <v>12</v>
      </c>
      <c r="F21" s="9" t="s">
        <v>40</v>
      </c>
      <c r="G21" s="10">
        <v>9900</v>
      </c>
      <c r="H21" s="11">
        <v>45744</v>
      </c>
      <c r="I21" s="18">
        <v>161363</v>
      </c>
      <c r="J21" s="17">
        <v>0.7</v>
      </c>
      <c r="K21" s="29">
        <f t="shared" si="3"/>
        <v>6930</v>
      </c>
      <c r="L21" s="19" t="s">
        <v>43</v>
      </c>
    </row>
    <row r="22" spans="1:12" x14ac:dyDescent="0.2">
      <c r="B22" s="16">
        <v>45729</v>
      </c>
      <c r="C22" s="8" t="s">
        <v>11</v>
      </c>
      <c r="D22" s="9" t="s">
        <v>14</v>
      </c>
      <c r="E22" s="9" t="s">
        <v>12</v>
      </c>
      <c r="F22" s="9" t="s">
        <v>39</v>
      </c>
      <c r="G22" s="10">
        <v>13950</v>
      </c>
      <c r="H22" s="11">
        <v>45751</v>
      </c>
      <c r="I22" s="18">
        <v>161521</v>
      </c>
      <c r="J22" s="17">
        <v>0.7</v>
      </c>
      <c r="K22" s="29">
        <f t="shared" si="3"/>
        <v>9765</v>
      </c>
      <c r="L22" s="19" t="s">
        <v>24</v>
      </c>
    </row>
    <row r="23" spans="1:12" x14ac:dyDescent="0.2">
      <c r="B23" s="16">
        <v>45729</v>
      </c>
      <c r="C23" s="8" t="s">
        <v>11</v>
      </c>
      <c r="D23" s="9" t="s">
        <v>14</v>
      </c>
      <c r="E23" s="9" t="s">
        <v>12</v>
      </c>
      <c r="F23" s="9" t="s">
        <v>39</v>
      </c>
      <c r="G23" s="10">
        <v>5480</v>
      </c>
      <c r="H23" s="11">
        <v>45744</v>
      </c>
      <c r="I23" s="18">
        <v>161556</v>
      </c>
      <c r="J23" s="17">
        <v>0.5</v>
      </c>
      <c r="K23" s="29">
        <f t="shared" si="3"/>
        <v>2740</v>
      </c>
      <c r="L23" s="19" t="s">
        <v>42</v>
      </c>
    </row>
    <row r="24" spans="1:12" x14ac:dyDescent="0.2">
      <c r="B24" s="16">
        <v>45736</v>
      </c>
      <c r="C24" s="8" t="s">
        <v>41</v>
      </c>
      <c r="D24" s="9" t="s">
        <v>34</v>
      </c>
      <c r="E24" s="9" t="s">
        <v>12</v>
      </c>
      <c r="F24" s="9" t="s">
        <v>36</v>
      </c>
      <c r="G24" s="10">
        <v>2600</v>
      </c>
      <c r="H24" s="11">
        <v>45757</v>
      </c>
      <c r="I24" s="18">
        <v>17662</v>
      </c>
      <c r="J24" s="17">
        <v>0.4</v>
      </c>
      <c r="K24" s="29">
        <f t="shared" si="3"/>
        <v>1040</v>
      </c>
      <c r="L24" s="19"/>
    </row>
    <row r="25" spans="1:12" ht="13.5" thickBot="1" x14ac:dyDescent="0.25">
      <c r="B25" s="16">
        <v>45742</v>
      </c>
      <c r="C25" s="8" t="s">
        <v>11</v>
      </c>
      <c r="D25" s="9" t="s">
        <v>14</v>
      </c>
      <c r="E25" s="9" t="s">
        <v>12</v>
      </c>
      <c r="F25" s="9" t="s">
        <v>13</v>
      </c>
      <c r="G25" s="10">
        <v>1800</v>
      </c>
      <c r="H25" s="11">
        <v>45751</v>
      </c>
      <c r="I25" s="18">
        <v>162026</v>
      </c>
      <c r="J25" s="17">
        <v>0.5</v>
      </c>
      <c r="K25" s="29">
        <f t="shared" si="3"/>
        <v>900</v>
      </c>
      <c r="L25" s="19" t="s">
        <v>22</v>
      </c>
    </row>
    <row r="26" spans="1:12" ht="13.5" thickBot="1" x14ac:dyDescent="0.25">
      <c r="E26" s="19"/>
      <c r="F26" s="24"/>
      <c r="G26" s="25"/>
      <c r="H26" s="25"/>
      <c r="I26" s="24"/>
      <c r="J26" s="24"/>
      <c r="K26" s="30">
        <f>SUM(K20:K25)</f>
        <v>24115</v>
      </c>
      <c r="L26" s="19"/>
    </row>
    <row r="27" spans="1:12" x14ac:dyDescent="0.2">
      <c r="E27" s="19"/>
      <c r="F27" s="24"/>
      <c r="G27" s="25"/>
      <c r="H27" s="25"/>
      <c r="I27" s="24"/>
      <c r="J27" s="24"/>
      <c r="K27" s="31"/>
      <c r="L27" s="19"/>
    </row>
    <row r="28" spans="1:12" x14ac:dyDescent="0.2">
      <c r="E28" s="19"/>
      <c r="F28" s="24"/>
      <c r="G28" s="25"/>
      <c r="H28" s="25"/>
      <c r="I28" s="24"/>
      <c r="J28" s="24" t="s">
        <v>15</v>
      </c>
      <c r="K28" s="31">
        <f>K26+K15</f>
        <v>24915</v>
      </c>
      <c r="L28" s="19"/>
    </row>
    <row r="29" spans="1:12" x14ac:dyDescent="0.2">
      <c r="H29" s="5"/>
      <c r="K29" s="15"/>
    </row>
    <row r="30" spans="1:12" x14ac:dyDescent="0.2">
      <c r="A30" s="4" t="s">
        <v>44</v>
      </c>
      <c r="B30" s="16">
        <v>45756</v>
      </c>
      <c r="C30" s="8" t="s">
        <v>11</v>
      </c>
      <c r="D30" s="9" t="s">
        <v>46</v>
      </c>
      <c r="E30" s="9" t="s">
        <v>12</v>
      </c>
      <c r="F30" s="9" t="s">
        <v>13</v>
      </c>
      <c r="G30" s="10">
        <v>1800</v>
      </c>
      <c r="H30" s="11">
        <v>45779</v>
      </c>
      <c r="I30" s="18">
        <v>162566</v>
      </c>
      <c r="J30" s="17">
        <v>0.5</v>
      </c>
      <c r="K30" s="14">
        <f>IF(I30="",0,+G30*J30)</f>
        <v>900</v>
      </c>
      <c r="L30" s="19" t="s">
        <v>52</v>
      </c>
    </row>
    <row r="31" spans="1:12" x14ac:dyDescent="0.2">
      <c r="B31" s="16">
        <v>45756</v>
      </c>
      <c r="C31" s="8" t="s">
        <v>11</v>
      </c>
      <c r="D31" s="9" t="s">
        <v>46</v>
      </c>
      <c r="E31" s="9" t="s">
        <v>12</v>
      </c>
      <c r="F31" s="9" t="s">
        <v>13</v>
      </c>
      <c r="G31" s="10">
        <v>13950</v>
      </c>
      <c r="H31" s="11">
        <v>45779</v>
      </c>
      <c r="I31" s="18">
        <v>162596</v>
      </c>
      <c r="J31" s="17">
        <v>0.7</v>
      </c>
      <c r="K31" s="14">
        <f>IF(I31="",0,+G31*J31)</f>
        <v>9765</v>
      </c>
      <c r="L31" s="19" t="s">
        <v>53</v>
      </c>
    </row>
    <row r="32" spans="1:12" x14ac:dyDescent="0.2">
      <c r="B32" s="16">
        <v>45757</v>
      </c>
      <c r="C32" s="8" t="s">
        <v>41</v>
      </c>
      <c r="D32" s="9" t="s">
        <v>34</v>
      </c>
      <c r="E32" s="9" t="s">
        <v>12</v>
      </c>
      <c r="F32" s="9" t="s">
        <v>36</v>
      </c>
      <c r="G32" s="10">
        <v>2600</v>
      </c>
      <c r="H32" s="11">
        <v>45827</v>
      </c>
      <c r="I32" s="18" t="s">
        <v>50</v>
      </c>
      <c r="J32" s="17">
        <v>0.4</v>
      </c>
      <c r="K32" s="14">
        <f t="shared" ref="K32" si="4">IF(I32="",0,+G32*J32)</f>
        <v>1040</v>
      </c>
    </row>
    <row r="33" spans="1:12" x14ac:dyDescent="0.2">
      <c r="B33" s="16">
        <v>45762</v>
      </c>
      <c r="C33" s="8" t="s">
        <v>11</v>
      </c>
      <c r="D33" s="9" t="s">
        <v>20</v>
      </c>
      <c r="E33" s="9" t="s">
        <v>12</v>
      </c>
      <c r="F33" s="9" t="s">
        <v>13</v>
      </c>
      <c r="G33" s="10">
        <v>900</v>
      </c>
      <c r="H33" s="11">
        <v>45779</v>
      </c>
      <c r="I33" s="18">
        <v>162773</v>
      </c>
      <c r="J33" s="17">
        <v>0.5</v>
      </c>
      <c r="K33" s="14">
        <f>IF(I33="",0,+G33*J33)</f>
        <v>450</v>
      </c>
      <c r="L33" s="19" t="s">
        <v>22</v>
      </c>
    </row>
    <row r="34" spans="1:12" ht="13.5" thickBot="1" x14ac:dyDescent="0.25">
      <c r="B34" s="16">
        <v>45777</v>
      </c>
      <c r="C34" s="8" t="s">
        <v>11</v>
      </c>
      <c r="D34" s="9" t="s">
        <v>14</v>
      </c>
      <c r="E34" s="9" t="s">
        <v>12</v>
      </c>
      <c r="F34" s="9" t="s">
        <v>13</v>
      </c>
      <c r="G34" s="10">
        <v>27865</v>
      </c>
      <c r="H34" s="11">
        <v>45790</v>
      </c>
      <c r="I34" s="18">
        <v>163351</v>
      </c>
      <c r="J34" s="17">
        <v>0.7</v>
      </c>
      <c r="K34" s="14">
        <f>IF(I34="",0,+G34*J34)</f>
        <v>19505.5</v>
      </c>
      <c r="L34" s="4" t="s">
        <v>47</v>
      </c>
    </row>
    <row r="35" spans="1:12" ht="13.5" thickBot="1" x14ac:dyDescent="0.25">
      <c r="H35" s="5"/>
      <c r="K35" s="28">
        <f>K33+K34</f>
        <v>19955.5</v>
      </c>
    </row>
    <row r="36" spans="1:12" x14ac:dyDescent="0.2">
      <c r="H36" s="5"/>
      <c r="K36" s="15"/>
    </row>
    <row r="37" spans="1:12" x14ac:dyDescent="0.2">
      <c r="A37" s="4" t="s">
        <v>48</v>
      </c>
      <c r="B37" s="16">
        <v>45800</v>
      </c>
      <c r="C37" s="8" t="s">
        <v>11</v>
      </c>
      <c r="D37" s="9" t="s">
        <v>14</v>
      </c>
      <c r="E37" s="9" t="s">
        <v>12</v>
      </c>
      <c r="F37" s="9" t="s">
        <v>39</v>
      </c>
      <c r="G37" s="10">
        <v>4110</v>
      </c>
      <c r="H37" s="11">
        <v>45814</v>
      </c>
      <c r="I37" s="18">
        <v>164300</v>
      </c>
      <c r="J37" s="17">
        <v>0.5</v>
      </c>
      <c r="K37" s="29">
        <f t="shared" ref="K37:K38" si="5">IF(I37="",0,+G37*J37)</f>
        <v>2055</v>
      </c>
      <c r="L37" s="19" t="s">
        <v>42</v>
      </c>
    </row>
    <row r="38" spans="1:12" ht="13.5" thickBot="1" x14ac:dyDescent="0.25">
      <c r="B38" s="16">
        <v>45801</v>
      </c>
      <c r="C38" s="8" t="s">
        <v>49</v>
      </c>
      <c r="D38" s="9" t="s">
        <v>20</v>
      </c>
      <c r="E38" s="9" t="s">
        <v>12</v>
      </c>
      <c r="F38" s="9" t="s">
        <v>23</v>
      </c>
      <c r="G38" s="10">
        <v>3410</v>
      </c>
      <c r="H38" s="11">
        <v>45810</v>
      </c>
      <c r="I38" s="18">
        <v>11302752483</v>
      </c>
      <c r="J38" s="17">
        <v>0.4</v>
      </c>
      <c r="K38" s="29">
        <f t="shared" si="5"/>
        <v>1364</v>
      </c>
    </row>
    <row r="39" spans="1:12" ht="13.5" thickBot="1" x14ac:dyDescent="0.25">
      <c r="E39" s="19"/>
      <c r="F39" s="24"/>
      <c r="G39" s="25"/>
      <c r="H39" s="25"/>
      <c r="I39" s="24"/>
      <c r="J39" s="24"/>
      <c r="K39" s="30">
        <f>SUM(K37:K38)</f>
        <v>3419</v>
      </c>
    </row>
    <row r="40" spans="1:12" x14ac:dyDescent="0.2">
      <c r="E40" s="19"/>
      <c r="F40" s="24"/>
      <c r="G40" s="25"/>
      <c r="H40" s="25"/>
      <c r="I40" s="24"/>
      <c r="J40" s="24"/>
      <c r="K40" s="31"/>
    </row>
    <row r="41" spans="1:12" x14ac:dyDescent="0.2">
      <c r="E41" s="19"/>
      <c r="F41" s="24"/>
      <c r="G41" s="25"/>
      <c r="H41" s="25"/>
      <c r="I41" s="24"/>
      <c r="J41" s="24" t="s">
        <v>15</v>
      </c>
      <c r="K41" s="31">
        <f>K39+K30+K31+K32</f>
        <v>15124</v>
      </c>
    </row>
    <row r="42" spans="1:12" x14ac:dyDescent="0.2">
      <c r="E42" s="19"/>
      <c r="F42" s="24"/>
      <c r="G42" s="25"/>
      <c r="H42" s="25"/>
      <c r="I42" s="24"/>
      <c r="J42" s="24"/>
      <c r="K42" s="31"/>
    </row>
    <row r="43" spans="1:12" x14ac:dyDescent="0.2">
      <c r="A43" s="4" t="s">
        <v>51</v>
      </c>
      <c r="B43" s="16">
        <v>45812</v>
      </c>
      <c r="C43" s="8" t="s">
        <v>11</v>
      </c>
      <c r="D43" s="9" t="s">
        <v>14</v>
      </c>
      <c r="E43" s="9" t="s">
        <v>12</v>
      </c>
      <c r="F43" s="9" t="s">
        <v>13</v>
      </c>
      <c r="G43" s="10">
        <v>42084</v>
      </c>
      <c r="H43" s="11">
        <v>45833</v>
      </c>
      <c r="I43" s="18">
        <v>164802</v>
      </c>
      <c r="J43" s="17">
        <v>0.7</v>
      </c>
      <c r="K43" s="29">
        <f t="shared" ref="K43:K46" si="6">IF(I43="",0,+G43*J43)</f>
        <v>29458.799999999999</v>
      </c>
      <c r="L43" s="4" t="s">
        <v>47</v>
      </c>
    </row>
    <row r="44" spans="1:12" x14ac:dyDescent="0.2">
      <c r="B44" s="16">
        <v>45825</v>
      </c>
      <c r="C44" s="8" t="s">
        <v>41</v>
      </c>
      <c r="D44" s="9" t="s">
        <v>54</v>
      </c>
      <c r="E44" s="32" t="s">
        <v>35</v>
      </c>
      <c r="F44" s="9" t="s">
        <v>55</v>
      </c>
      <c r="G44" s="10">
        <v>3200</v>
      </c>
      <c r="H44" s="33"/>
      <c r="I44" s="34"/>
      <c r="J44" s="17">
        <v>0.4</v>
      </c>
      <c r="K44" s="35">
        <f t="shared" si="6"/>
        <v>0</v>
      </c>
      <c r="L44" s="36" t="s">
        <v>59</v>
      </c>
    </row>
    <row r="45" spans="1:12" x14ac:dyDescent="0.2">
      <c r="B45" s="16">
        <v>45831</v>
      </c>
      <c r="C45" s="8" t="s">
        <v>11</v>
      </c>
      <c r="D45" s="9" t="s">
        <v>14</v>
      </c>
      <c r="E45" s="9" t="s">
        <v>12</v>
      </c>
      <c r="F45" s="9" t="s">
        <v>28</v>
      </c>
      <c r="G45" s="10">
        <v>6975</v>
      </c>
      <c r="H45" s="11">
        <v>45852</v>
      </c>
      <c r="I45" s="18">
        <v>165650</v>
      </c>
      <c r="J45" s="17">
        <v>0.7</v>
      </c>
      <c r="K45" s="29">
        <f t="shared" si="6"/>
        <v>4882.5</v>
      </c>
      <c r="L45" s="19" t="s">
        <v>24</v>
      </c>
    </row>
    <row r="46" spans="1:12" ht="13.5" thickBot="1" x14ac:dyDescent="0.25">
      <c r="B46" s="16">
        <v>45834</v>
      </c>
      <c r="C46" s="8" t="s">
        <v>56</v>
      </c>
      <c r="D46" s="9" t="s">
        <v>14</v>
      </c>
      <c r="E46" s="9" t="s">
        <v>12</v>
      </c>
      <c r="F46" s="9" t="s">
        <v>57</v>
      </c>
      <c r="G46" s="10">
        <v>6500</v>
      </c>
      <c r="H46" s="11">
        <v>45852</v>
      </c>
      <c r="I46" s="18" t="s">
        <v>58</v>
      </c>
      <c r="J46" s="17">
        <v>0.4</v>
      </c>
      <c r="K46" s="29">
        <f t="shared" si="6"/>
        <v>2600</v>
      </c>
    </row>
    <row r="47" spans="1:12" ht="13.5" thickBot="1" x14ac:dyDescent="0.25">
      <c r="E47" s="19"/>
      <c r="F47" s="24"/>
      <c r="G47" s="25"/>
      <c r="H47" s="25"/>
      <c r="I47" s="24"/>
      <c r="J47" s="24"/>
      <c r="K47" s="30">
        <f>K43+K45+K46</f>
        <v>36941.300000000003</v>
      </c>
    </row>
    <row r="48" spans="1:12" x14ac:dyDescent="0.2">
      <c r="E48" s="19"/>
      <c r="F48" s="24"/>
      <c r="G48" s="25"/>
      <c r="H48" s="25"/>
      <c r="I48" s="24"/>
      <c r="J48" s="24"/>
      <c r="K48" s="31"/>
    </row>
    <row r="49" spans="1:12" x14ac:dyDescent="0.2">
      <c r="A49" s="4" t="s">
        <v>60</v>
      </c>
      <c r="B49" s="16">
        <v>45848</v>
      </c>
      <c r="C49" s="8" t="s">
        <v>11</v>
      </c>
      <c r="D49" s="9" t="s">
        <v>14</v>
      </c>
      <c r="E49" s="9" t="s">
        <v>12</v>
      </c>
      <c r="F49" s="9" t="s">
        <v>39</v>
      </c>
      <c r="G49" s="10">
        <v>2740</v>
      </c>
      <c r="H49" s="11">
        <v>45873</v>
      </c>
      <c r="I49" s="18">
        <v>166254</v>
      </c>
      <c r="J49" s="17">
        <v>0.5</v>
      </c>
      <c r="K49" s="14">
        <f t="shared" ref="K49" si="7">IF(I49="",0,+G49*J49)</f>
        <v>1370</v>
      </c>
      <c r="L49" s="19" t="s">
        <v>42</v>
      </c>
    </row>
    <row r="50" spans="1:12" x14ac:dyDescent="0.2">
      <c r="B50" s="16">
        <v>45849</v>
      </c>
      <c r="C50" s="8" t="s">
        <v>11</v>
      </c>
      <c r="D50" s="9" t="s">
        <v>14</v>
      </c>
      <c r="E50" s="9" t="s">
        <v>12</v>
      </c>
      <c r="F50" s="9" t="s">
        <v>39</v>
      </c>
      <c r="G50" s="10">
        <v>3640</v>
      </c>
      <c r="H50" s="11">
        <v>45873</v>
      </c>
      <c r="I50" s="18">
        <v>166336</v>
      </c>
      <c r="J50" s="17">
        <v>0.5</v>
      </c>
      <c r="K50" s="14">
        <f>IF(I50="",0,+G50*J50)</f>
        <v>1820</v>
      </c>
      <c r="L50" s="19" t="s">
        <v>42</v>
      </c>
    </row>
    <row r="51" spans="1:12" x14ac:dyDescent="0.2">
      <c r="B51" s="16">
        <v>45852</v>
      </c>
      <c r="C51" s="8" t="s">
        <v>49</v>
      </c>
      <c r="D51" s="9" t="s">
        <v>34</v>
      </c>
      <c r="E51" s="9" t="s">
        <v>12</v>
      </c>
      <c r="F51" s="9" t="s">
        <v>39</v>
      </c>
      <c r="G51" s="10">
        <v>1167</v>
      </c>
      <c r="H51" s="11">
        <v>45863</v>
      </c>
      <c r="I51" s="18">
        <v>11302828569</v>
      </c>
      <c r="J51" s="17">
        <v>0.4</v>
      </c>
      <c r="K51" s="14">
        <f>IF(I51="",0,+G51*J51)</f>
        <v>466.8</v>
      </c>
    </row>
    <row r="52" spans="1:12" x14ac:dyDescent="0.2">
      <c r="B52" s="16">
        <v>45861</v>
      </c>
      <c r="C52" s="8" t="s">
        <v>11</v>
      </c>
      <c r="D52" s="9" t="s">
        <v>14</v>
      </c>
      <c r="E52" s="9" t="s">
        <v>12</v>
      </c>
      <c r="F52" s="9" t="s">
        <v>13</v>
      </c>
      <c r="G52" s="10">
        <v>4227.5</v>
      </c>
      <c r="H52" s="11">
        <v>45905</v>
      </c>
      <c r="I52" s="18">
        <v>166823</v>
      </c>
      <c r="J52" s="17">
        <v>0.5</v>
      </c>
      <c r="K52" s="14">
        <f t="shared" ref="K52" si="8">IF(I52="",0,+G52*J52)</f>
        <v>2113.75</v>
      </c>
      <c r="L52" s="19" t="s">
        <v>42</v>
      </c>
    </row>
    <row r="53" spans="1:12" x14ac:dyDescent="0.2">
      <c r="B53" s="16">
        <v>45866</v>
      </c>
      <c r="C53" s="8" t="s">
        <v>11</v>
      </c>
      <c r="D53" s="9" t="s">
        <v>14</v>
      </c>
      <c r="E53" s="9" t="s">
        <v>12</v>
      </c>
      <c r="F53" s="9" t="s">
        <v>61</v>
      </c>
      <c r="G53" s="10">
        <v>1350</v>
      </c>
      <c r="H53" s="11">
        <v>45888</v>
      </c>
      <c r="I53" s="18" t="s">
        <v>62</v>
      </c>
      <c r="J53" s="17">
        <v>0.5</v>
      </c>
      <c r="K53" s="14">
        <f>IF(I53="",0,+G53*J53)</f>
        <v>675</v>
      </c>
      <c r="L53" s="19" t="s">
        <v>22</v>
      </c>
    </row>
    <row r="54" spans="1:12" ht="13.5" thickBot="1" x14ac:dyDescent="0.25">
      <c r="B54" s="16">
        <v>45866</v>
      </c>
      <c r="C54" s="8" t="s">
        <v>49</v>
      </c>
      <c r="D54" s="9" t="s">
        <v>20</v>
      </c>
      <c r="E54" s="9" t="s">
        <v>12</v>
      </c>
      <c r="F54" s="9" t="s">
        <v>40</v>
      </c>
      <c r="G54" s="10">
        <v>2369</v>
      </c>
      <c r="H54" s="11">
        <v>45873</v>
      </c>
      <c r="I54" s="18">
        <v>11302849974</v>
      </c>
      <c r="J54" s="17">
        <v>0.4</v>
      </c>
      <c r="K54" s="14">
        <f>IF(I54="",0,+G54*J54)</f>
        <v>947.6</v>
      </c>
      <c r="L54" s="36"/>
    </row>
    <row r="55" spans="1:12" ht="13.5" thickBot="1" x14ac:dyDescent="0.25">
      <c r="H55" s="5"/>
      <c r="K55" s="28">
        <f>K49+K50+K51+K53+K54</f>
        <v>5279.4000000000005</v>
      </c>
    </row>
    <row r="56" spans="1:12" x14ac:dyDescent="0.2">
      <c r="H56" s="5"/>
      <c r="K56" s="15"/>
    </row>
    <row r="57" spans="1:12" x14ac:dyDescent="0.2">
      <c r="A57" s="4" t="s">
        <v>63</v>
      </c>
      <c r="B57" s="16">
        <v>45883</v>
      </c>
      <c r="C57" s="8" t="s">
        <v>11</v>
      </c>
      <c r="D57" s="9" t="s">
        <v>14</v>
      </c>
      <c r="E57" s="9" t="s">
        <v>12</v>
      </c>
      <c r="F57" s="9" t="s">
        <v>39</v>
      </c>
      <c r="G57" s="10">
        <v>6900</v>
      </c>
      <c r="H57" s="11">
        <v>45898</v>
      </c>
      <c r="I57" s="18">
        <v>167708</v>
      </c>
      <c r="J57" s="17">
        <v>0.5</v>
      </c>
      <c r="K57" s="14">
        <f t="shared" ref="K57" si="9">IF(I57="",0,+G57*J57)</f>
        <v>3450</v>
      </c>
      <c r="L57" s="19" t="s">
        <v>64</v>
      </c>
    </row>
    <row r="58" spans="1:12" ht="13.5" thickBot="1" x14ac:dyDescent="0.25">
      <c r="B58" s="16">
        <v>45897</v>
      </c>
      <c r="C58" s="8" t="s">
        <v>11</v>
      </c>
      <c r="D58" s="9" t="s">
        <v>14</v>
      </c>
      <c r="E58" s="9" t="s">
        <v>12</v>
      </c>
      <c r="F58" s="9" t="s">
        <v>39</v>
      </c>
      <c r="G58" s="10">
        <v>900</v>
      </c>
      <c r="H58" s="11">
        <v>45920</v>
      </c>
      <c r="I58" s="18" t="s">
        <v>66</v>
      </c>
      <c r="J58" s="17">
        <v>0.5</v>
      </c>
      <c r="K58" s="14">
        <f>IF(I58="",0,+G58*J58)</f>
        <v>450</v>
      </c>
      <c r="L58" s="19" t="s">
        <v>22</v>
      </c>
    </row>
    <row r="59" spans="1:12" ht="13.5" thickBot="1" x14ac:dyDescent="0.25">
      <c r="H59" s="5"/>
      <c r="K59" s="28">
        <f>SUM(K57:K58)</f>
        <v>3900</v>
      </c>
    </row>
    <row r="60" spans="1:12" x14ac:dyDescent="0.2">
      <c r="H60" s="5"/>
      <c r="K60" s="15"/>
    </row>
    <row r="61" spans="1:12" x14ac:dyDescent="0.2">
      <c r="H61" s="5"/>
      <c r="J61" s="6" t="s">
        <v>15</v>
      </c>
      <c r="K61" s="15">
        <f>K59+K52</f>
        <v>6013.75</v>
      </c>
    </row>
    <row r="62" spans="1:12" x14ac:dyDescent="0.2">
      <c r="H62" s="5"/>
      <c r="K62" s="15"/>
    </row>
    <row r="63" spans="1:12" x14ac:dyDescent="0.2">
      <c r="A63" s="4" t="s">
        <v>26</v>
      </c>
      <c r="B63" s="16">
        <v>45908</v>
      </c>
      <c r="C63" s="8" t="s">
        <v>11</v>
      </c>
      <c r="D63" s="9" t="s">
        <v>34</v>
      </c>
      <c r="E63" s="9" t="s">
        <v>12</v>
      </c>
      <c r="F63" s="9" t="s">
        <v>21</v>
      </c>
      <c r="G63" s="10">
        <v>2528</v>
      </c>
      <c r="H63" s="11">
        <v>45936</v>
      </c>
      <c r="I63" s="18">
        <v>168707</v>
      </c>
      <c r="J63" s="17">
        <v>0.5</v>
      </c>
      <c r="K63" s="14">
        <f t="shared" ref="K63" si="10">IF(I63="",0,+G63*J63)</f>
        <v>1264</v>
      </c>
      <c r="L63" s="19" t="s">
        <v>67</v>
      </c>
    </row>
    <row r="64" spans="1:12" ht="13.5" thickBot="1" x14ac:dyDescent="0.25">
      <c r="B64" s="16">
        <v>45929</v>
      </c>
      <c r="C64" s="8" t="s">
        <v>11</v>
      </c>
      <c r="D64" s="9" t="s">
        <v>14</v>
      </c>
      <c r="E64" s="9" t="s">
        <v>12</v>
      </c>
      <c r="F64" s="9" t="s">
        <v>13</v>
      </c>
      <c r="G64" s="10">
        <v>5110</v>
      </c>
      <c r="H64" s="11">
        <v>45940</v>
      </c>
      <c r="I64" s="18">
        <v>169545</v>
      </c>
      <c r="J64" s="17">
        <v>0.5</v>
      </c>
      <c r="K64" s="14">
        <f>IF(I64="",0,+G64*J64)</f>
        <v>2555</v>
      </c>
      <c r="L64" s="19" t="s">
        <v>42</v>
      </c>
    </row>
    <row r="65" spans="8:11" ht="13.5" thickBot="1" x14ac:dyDescent="0.25">
      <c r="H65" s="5"/>
      <c r="K65" s="37">
        <f>SUM(K63:K64)</f>
        <v>3819</v>
      </c>
    </row>
    <row r="66" spans="8:11" x14ac:dyDescent="0.2">
      <c r="H66" s="5"/>
      <c r="K66" s="15"/>
    </row>
    <row r="67" spans="8:11" x14ac:dyDescent="0.2">
      <c r="H67" s="5"/>
      <c r="K67" s="15"/>
    </row>
  </sheetData>
  <hyperlinks>
    <hyperlink ref="K2" r:id="rId1" xr:uid="{CAC3647D-715D-4308-85F4-3FCF4608CABA}"/>
    <hyperlink ref="K3" r:id="rId2" xr:uid="{F31738C5-F3B7-4C65-89E2-1FADF294E009}"/>
  </hyperlinks>
  <printOptions horizontalCentered="1"/>
  <pageMargins left="0.25" right="0.25" top="0.75" bottom="0.5" header="0.3" footer="0.3"/>
  <pageSetup scale="48" fitToHeight="0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aelsbury</dc:creator>
  <cp:lastModifiedBy>Matt Cole</cp:lastModifiedBy>
  <cp:lastPrinted>2025-08-18T21:18:00Z</cp:lastPrinted>
  <dcterms:created xsi:type="dcterms:W3CDTF">2010-10-18T19:46:39Z</dcterms:created>
  <dcterms:modified xsi:type="dcterms:W3CDTF">2025-10-23T13:55:24Z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