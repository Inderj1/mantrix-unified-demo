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xxtspinellc-my.sharepoint.com/personal/mcole_nexxtspine_com/Documents/Desktop/"/>
    </mc:Choice>
  </mc:AlternateContent>
  <xr:revisionPtr revIDLastSave="0" documentId="8_{16110834-4A71-4FB3-B844-80D9A4FD6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Sheet1!$A$1:$O$248</definedName>
    <definedName name="_xlnm.Print_Titles" localSheetId="0">Sheet1!$1:$2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7" i="1" l="1"/>
  <c r="K213" i="1"/>
  <c r="K214" i="1"/>
  <c r="K215" i="1"/>
  <c r="K216" i="1"/>
  <c r="K217" i="1"/>
  <c r="K218" i="1"/>
  <c r="K219" i="1"/>
  <c r="K220" i="1"/>
  <c r="K221" i="1"/>
  <c r="K222" i="1"/>
  <c r="G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12" i="1"/>
  <c r="K211" i="1"/>
  <c r="K210" i="1"/>
  <c r="K209" i="1"/>
  <c r="K208" i="1"/>
  <c r="K201" i="1"/>
  <c r="G203" i="1"/>
  <c r="K163" i="1"/>
  <c r="K202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6" i="1"/>
  <c r="K113" i="1"/>
  <c r="G169" i="1"/>
  <c r="G135" i="1"/>
  <c r="K135" i="1" s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8" i="1"/>
  <c r="K167" i="1"/>
  <c r="K166" i="1"/>
  <c r="K165" i="1"/>
  <c r="K164" i="1"/>
  <c r="K162" i="1"/>
  <c r="K161" i="1"/>
  <c r="K160" i="1"/>
  <c r="K137" i="1"/>
  <c r="K136" i="1"/>
  <c r="K125" i="1"/>
  <c r="K122" i="1"/>
  <c r="K111" i="1"/>
  <c r="K107" i="1"/>
  <c r="K104" i="1"/>
  <c r="K103" i="1"/>
  <c r="G131" i="1"/>
  <c r="K105" i="1"/>
  <c r="K106" i="1"/>
  <c r="K108" i="1"/>
  <c r="K109" i="1"/>
  <c r="K110" i="1"/>
  <c r="K112" i="1"/>
  <c r="K114" i="1"/>
  <c r="K115" i="1"/>
  <c r="K116" i="1"/>
  <c r="K117" i="1"/>
  <c r="K118" i="1"/>
  <c r="K119" i="1"/>
  <c r="K120" i="1"/>
  <c r="K121" i="1"/>
  <c r="K130" i="1"/>
  <c r="K129" i="1"/>
  <c r="K128" i="1"/>
  <c r="K127" i="1"/>
  <c r="K126" i="1"/>
  <c r="K124" i="1"/>
  <c r="K123" i="1"/>
  <c r="K102" i="1"/>
  <c r="K101" i="1"/>
  <c r="G99" i="1"/>
  <c r="K85" i="1"/>
  <c r="K87" i="1"/>
  <c r="K98" i="1"/>
  <c r="K97" i="1"/>
  <c r="K96" i="1"/>
  <c r="K95" i="1"/>
  <c r="K94" i="1"/>
  <c r="K93" i="1"/>
  <c r="K92" i="1"/>
  <c r="K91" i="1"/>
  <c r="K90" i="1"/>
  <c r="K89" i="1"/>
  <c r="K88" i="1"/>
  <c r="K86" i="1"/>
  <c r="G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G66" i="1"/>
  <c r="K45" i="1"/>
  <c r="K46" i="1"/>
  <c r="K47" i="1"/>
  <c r="K48" i="1"/>
  <c r="K49" i="1"/>
  <c r="K50" i="1"/>
  <c r="K51" i="1"/>
  <c r="K52" i="1"/>
  <c r="K53" i="1"/>
  <c r="K54" i="1"/>
  <c r="K65" i="1"/>
  <c r="K64" i="1"/>
  <c r="K63" i="1"/>
  <c r="K62" i="1"/>
  <c r="K61" i="1"/>
  <c r="K60" i="1"/>
  <c r="K59" i="1"/>
  <c r="K58" i="1"/>
  <c r="K57" i="1"/>
  <c r="K56" i="1"/>
  <c r="K55" i="1"/>
  <c r="K44" i="1"/>
  <c r="K43" i="1"/>
  <c r="K39" i="1"/>
  <c r="G41" i="1"/>
  <c r="K246" i="1" l="1"/>
  <c r="K133" i="1"/>
  <c r="K203" i="1"/>
  <c r="K205" i="1" s="1"/>
  <c r="K131" i="1"/>
  <c r="K169" i="1"/>
  <c r="K171" i="1" s="1"/>
  <c r="K81" i="1"/>
  <c r="K83" i="1" s="1"/>
  <c r="K66" i="1"/>
  <c r="K99" i="1"/>
  <c r="K40" i="1"/>
  <c r="K38" i="1"/>
  <c r="K37" i="1"/>
  <c r="K36" i="1"/>
  <c r="K35" i="1"/>
  <c r="K34" i="1"/>
  <c r="K33" i="1"/>
  <c r="K32" i="1"/>
  <c r="K31" i="1"/>
  <c r="K30" i="1"/>
  <c r="K29" i="1"/>
  <c r="K28" i="1"/>
  <c r="K41" i="1" l="1"/>
  <c r="K17" i="1"/>
  <c r="G24" i="1"/>
  <c r="K21" i="1"/>
  <c r="K9" i="1"/>
  <c r="K11" i="1"/>
  <c r="K12" i="1"/>
  <c r="K5" i="1"/>
  <c r="K23" i="1"/>
  <c r="K22" i="1"/>
  <c r="K20" i="1"/>
  <c r="K19" i="1"/>
  <c r="K18" i="1"/>
  <c r="K16" i="1"/>
  <c r="K15" i="1"/>
  <c r="K14" i="1"/>
  <c r="K13" i="1"/>
  <c r="K10" i="1"/>
  <c r="K24" i="1" l="1"/>
  <c r="K26" i="1" s="1"/>
</calcChain>
</file>

<file path=xl/sharedStrings.xml><?xml version="1.0" encoding="utf-8"?>
<sst xmlns="http://schemas.openxmlformats.org/spreadsheetml/2006/main" count="1056" uniqueCount="225">
  <si>
    <t>Hospital</t>
  </si>
  <si>
    <t>Dollar Total</t>
  </si>
  <si>
    <t>PO Arrive Date</t>
  </si>
  <si>
    <t>PO #</t>
  </si>
  <si>
    <t>Surgery Date</t>
  </si>
  <si>
    <t>Surgeon</t>
  </si>
  <si>
    <t>Notes:</t>
  </si>
  <si>
    <t>Commission %</t>
  </si>
  <si>
    <t>Rep</t>
  </si>
  <si>
    <t>Trained</t>
  </si>
  <si>
    <t>35% &lt; $50k</t>
  </si>
  <si>
    <t>40% &gt; $50k</t>
  </si>
  <si>
    <t>turgonalbert@gmail.com</t>
  </si>
  <si>
    <t>YES</t>
  </si>
  <si>
    <t>50% at any Govt/VA Facility</t>
  </si>
  <si>
    <t>sales@alamocityspine.net</t>
  </si>
  <si>
    <t>Greg Rehfeld</t>
  </si>
  <si>
    <t>McDermott</t>
  </si>
  <si>
    <t>Total</t>
  </si>
  <si>
    <t>South Texas Spine &amp; Surgical Hospital</t>
  </si>
  <si>
    <t>Jarron Harris</t>
  </si>
  <si>
    <t>Webb</t>
  </si>
  <si>
    <t>Edionwe</t>
  </si>
  <si>
    <t>Cibolo Spine - Albert Turgon - V6024 DD</t>
  </si>
  <si>
    <t>Methodist Stone Oak - HCA</t>
  </si>
  <si>
    <t>Dec</t>
  </si>
  <si>
    <t>Colton Rehfeld</t>
  </si>
  <si>
    <t>1025031728-0-BILL</t>
  </si>
  <si>
    <t>Christus Santa Rosa Medical Center</t>
  </si>
  <si>
    <t>Cecchini</t>
  </si>
  <si>
    <t>Medical Solutions of Texas</t>
  </si>
  <si>
    <t>MS1704</t>
  </si>
  <si>
    <t>MS1708</t>
  </si>
  <si>
    <t>*Saxxony Training Completed on 1/17/25 in-person.  Pay on next commission run (2/20/25).</t>
  </si>
  <si>
    <t>Jan</t>
  </si>
  <si>
    <t>MS1718</t>
  </si>
  <si>
    <t>MS1720</t>
  </si>
  <si>
    <t>1025032002-0-BILL</t>
  </si>
  <si>
    <t>1025032025-0-BILL</t>
  </si>
  <si>
    <t>Morton</t>
  </si>
  <si>
    <t>MS1730</t>
  </si>
  <si>
    <t>1025032349-0-BILL</t>
  </si>
  <si>
    <t>1025032348-0-BILL</t>
  </si>
  <si>
    <t>MS1750</t>
  </si>
  <si>
    <t>MS1755</t>
  </si>
  <si>
    <t>Metropolitan Methodist Hospital - HCA</t>
  </si>
  <si>
    <t>Rebilled MSOT due to price correction</t>
  </si>
  <si>
    <t>Feb</t>
  </si>
  <si>
    <t>St. Luke's Baptist Hospital</t>
  </si>
  <si>
    <t>0952 096235</t>
  </si>
  <si>
    <t>Methodist Hospital Northeast</t>
  </si>
  <si>
    <t>North Central Baptist</t>
  </si>
  <si>
    <t>0954 159275</t>
  </si>
  <si>
    <t>MS1791</t>
  </si>
  <si>
    <t>Southern Hills Hospital NV - HCA</t>
  </si>
  <si>
    <t>Holden Calhoon</t>
  </si>
  <si>
    <t>Nwasike</t>
  </si>
  <si>
    <t>1025032621-0-BILL</t>
  </si>
  <si>
    <t>0952 096487</t>
  </si>
  <si>
    <t>MS1823</t>
  </si>
  <si>
    <t>1025032806-0-BILL</t>
  </si>
  <si>
    <t>MS1798</t>
  </si>
  <si>
    <t>0952 096939</t>
  </si>
  <si>
    <t>Mar</t>
  </si>
  <si>
    <t>Issue with facility approval!  They won't issue PO.  Case written-off.</t>
  </si>
  <si>
    <t>0952 096949</t>
  </si>
  <si>
    <t>0952 096951 &amp; 0952 096956</t>
  </si>
  <si>
    <t>1025033107-0-BILL</t>
  </si>
  <si>
    <t>0952 097124</t>
  </si>
  <si>
    <t>0952 097126</t>
  </si>
  <si>
    <t>0952 097123</t>
  </si>
  <si>
    <t>Peitz</t>
  </si>
  <si>
    <t>MS1838</t>
  </si>
  <si>
    <t>0952 097460</t>
  </si>
  <si>
    <t>Mallory</t>
  </si>
  <si>
    <t>MS1832</t>
  </si>
  <si>
    <t>Methodist Hospital San Antonio - HCA</t>
  </si>
  <si>
    <t>MS1844</t>
  </si>
  <si>
    <t>MS1846</t>
  </si>
  <si>
    <t>MS1866</t>
  </si>
  <si>
    <t>0952 097129</t>
  </si>
  <si>
    <t>Apr</t>
  </si>
  <si>
    <t>0952 098025</t>
  </si>
  <si>
    <t>0952 098040</t>
  </si>
  <si>
    <t>0952 098054</t>
  </si>
  <si>
    <t>0952 098219</t>
  </si>
  <si>
    <t>Galvan</t>
  </si>
  <si>
    <t>0952 098487</t>
  </si>
  <si>
    <t>MS1887</t>
  </si>
  <si>
    <t>MS1893</t>
  </si>
  <si>
    <t>0952 098657</t>
  </si>
  <si>
    <t>MS1847</t>
  </si>
  <si>
    <t>MS1851</t>
  </si>
  <si>
    <t>May</t>
  </si>
  <si>
    <t>MS1915</t>
  </si>
  <si>
    <t>MS1917</t>
  </si>
  <si>
    <t>MS1918</t>
  </si>
  <si>
    <t>0952 099495</t>
  </si>
  <si>
    <t>MS1942</t>
  </si>
  <si>
    <t>MS1946</t>
  </si>
  <si>
    <t>MS1945</t>
  </si>
  <si>
    <t>InterMed - Christus Santa Rosa-Westover Hills</t>
  </si>
  <si>
    <t>1025034667-0-BILL</t>
  </si>
  <si>
    <t>Jun</t>
  </si>
  <si>
    <t>InterMed - Christus Alamo Heights</t>
  </si>
  <si>
    <t>Shannon Medical Center</t>
  </si>
  <si>
    <t>Quenton Persinger</t>
  </si>
  <si>
    <t>Hobbs</t>
  </si>
  <si>
    <t>461256-BILL</t>
  </si>
  <si>
    <t>461255-BILL</t>
  </si>
  <si>
    <t>MS1965</t>
  </si>
  <si>
    <t>1025035024-0-BILL</t>
  </si>
  <si>
    <t>MS1976</t>
  </si>
  <si>
    <t>MS2007</t>
  </si>
  <si>
    <t>Suzy Whiting</t>
  </si>
  <si>
    <t>0952 100413</t>
  </si>
  <si>
    <t>MS1977</t>
  </si>
  <si>
    <t>0952 100596</t>
  </si>
  <si>
    <t>463105-BILL</t>
  </si>
  <si>
    <t>MS1986</t>
  </si>
  <si>
    <t>N/A</t>
  </si>
  <si>
    <t>SPE2D625F4FR0 &amp; MS1988</t>
  </si>
  <si>
    <t>463099-BILL</t>
  </si>
  <si>
    <t>MS1990</t>
  </si>
  <si>
    <t>MS1999</t>
  </si>
  <si>
    <t>MS1998</t>
  </si>
  <si>
    <t>MS1997</t>
  </si>
  <si>
    <t>Connexx MIS Training Completed on 7/23/25.  Pay commisson on next commission run (8/20/25).</t>
  </si>
  <si>
    <t>Struxxure-C Training Completed on 7/23/25.  Pay commission on next commission run (8/20/25).</t>
  </si>
  <si>
    <t>Paid 7/25 ACH</t>
  </si>
  <si>
    <t>Case Total Changed to $98,467.10.  Correct on the next commission run (8/20/25).</t>
  </si>
  <si>
    <t>Jul</t>
  </si>
  <si>
    <t>465408-BILL</t>
  </si>
  <si>
    <t>MS2000</t>
  </si>
  <si>
    <t>463770-BILL</t>
  </si>
  <si>
    <t>463827-BILL</t>
  </si>
  <si>
    <t>464007-BILL</t>
  </si>
  <si>
    <t>Hurley</t>
  </si>
  <si>
    <t>MS2018</t>
  </si>
  <si>
    <t>MS2022</t>
  </si>
  <si>
    <t>464490-BILL</t>
  </si>
  <si>
    <t>464489-BILL</t>
  </si>
  <si>
    <t>464559-BILL</t>
  </si>
  <si>
    <t>464558-BILL</t>
  </si>
  <si>
    <t>464951-BILL</t>
  </si>
  <si>
    <t>MS2038</t>
  </si>
  <si>
    <t>465054-BILL</t>
  </si>
  <si>
    <t>MS2047</t>
  </si>
  <si>
    <t>465193-BILL</t>
  </si>
  <si>
    <t>Julio Castro</t>
  </si>
  <si>
    <t>Joshi</t>
  </si>
  <si>
    <t>1025035879-0-BILL</t>
  </si>
  <si>
    <t>MS2057</t>
  </si>
  <si>
    <t>465723-BILL</t>
  </si>
  <si>
    <t>461569-BILL</t>
  </si>
  <si>
    <t>465412-BILL</t>
  </si>
  <si>
    <t>465364-BILL</t>
  </si>
  <si>
    <t>465410-BILL</t>
  </si>
  <si>
    <t>465411-BILL</t>
  </si>
  <si>
    <t>465409-BILL</t>
  </si>
  <si>
    <t>465415-BILL</t>
  </si>
  <si>
    <t>Invoice paid without obtaining PO#.</t>
  </si>
  <si>
    <t>SA ALIF Training Completed on 6/17/25.  Pay on next commission run (8/20/25).</t>
  </si>
  <si>
    <t>Aug</t>
  </si>
  <si>
    <t>446797</t>
  </si>
  <si>
    <t>466224-BILL</t>
  </si>
  <si>
    <t>466493-BILL</t>
  </si>
  <si>
    <t>834943</t>
  </si>
  <si>
    <t>466494-BILL</t>
  </si>
  <si>
    <t>0952 102360</t>
  </si>
  <si>
    <t>466880-BILL</t>
  </si>
  <si>
    <t>467012-BILL</t>
  </si>
  <si>
    <t>467131-BILL</t>
  </si>
  <si>
    <t>467130-BILL</t>
  </si>
  <si>
    <t>MS2082</t>
  </si>
  <si>
    <t>1025036314-0-BILL</t>
  </si>
  <si>
    <t>467413-BILL</t>
  </si>
  <si>
    <t>467565-BILL</t>
  </si>
  <si>
    <t>MS2088</t>
  </si>
  <si>
    <t>467794-BILL</t>
  </si>
  <si>
    <t>467793-BILL</t>
  </si>
  <si>
    <t>MS2096</t>
  </si>
  <si>
    <t>468054-BILL</t>
  </si>
  <si>
    <t>468272-BILL</t>
  </si>
  <si>
    <t>468417-BILL</t>
  </si>
  <si>
    <t>468519-BILL</t>
  </si>
  <si>
    <t>468520-BILL</t>
  </si>
  <si>
    <t>1025036615-0-BILL</t>
  </si>
  <si>
    <t>Nicholas Watson</t>
  </si>
  <si>
    <t>Guillet</t>
  </si>
  <si>
    <t>468799-BILL</t>
  </si>
  <si>
    <t>MS2122</t>
  </si>
  <si>
    <t>Sept</t>
  </si>
  <si>
    <t>MS2124</t>
  </si>
  <si>
    <t>MS2125</t>
  </si>
  <si>
    <t>MS2126</t>
  </si>
  <si>
    <t>468819-BILL</t>
  </si>
  <si>
    <t>1025036674-0-BILL</t>
  </si>
  <si>
    <t>468818-BILL</t>
  </si>
  <si>
    <t>1025036757-0-BILL</t>
  </si>
  <si>
    <t>469307-BILL</t>
  </si>
  <si>
    <t>469331-BILL</t>
  </si>
  <si>
    <t>469601-BILL</t>
  </si>
  <si>
    <t>1025036810-0-BILL</t>
  </si>
  <si>
    <t>469676-BILL</t>
  </si>
  <si>
    <t>1025036858-0-BILL</t>
  </si>
  <si>
    <t>1025036870-0-BILL</t>
  </si>
  <si>
    <t>MS2138</t>
  </si>
  <si>
    <t>MS2140</t>
  </si>
  <si>
    <t>470429-BILL</t>
  </si>
  <si>
    <t>MS2145</t>
  </si>
  <si>
    <t>1025037040-0-BILL</t>
  </si>
  <si>
    <t>MS2153</t>
  </si>
  <si>
    <t>470927-BILL</t>
  </si>
  <si>
    <t>470925-BILL</t>
  </si>
  <si>
    <t>1025037096-0-BILL</t>
  </si>
  <si>
    <t>471168-BILL</t>
  </si>
  <si>
    <t>Zakeri</t>
  </si>
  <si>
    <t>471300-BILL</t>
  </si>
  <si>
    <t>MS2157</t>
  </si>
  <si>
    <t>MS2160</t>
  </si>
  <si>
    <t>471603-BILL</t>
  </si>
  <si>
    <t>MS2165</t>
  </si>
  <si>
    <t>1025037265-0-BILL</t>
  </si>
  <si>
    <t>470163-BILL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</si>
</sst>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C00000"/>
      <name val="Tahoma"/>
      <family val="2"/>
    </font>
    <font>
      <sz val="10"/>
      <color rgb="FFFFFF00"/>
      <name val="Tahoma"/>
      <family val="2"/>
    </font>
    <font>
      <sz val="10"/>
      <color rgb="FF7030A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164" fontId="6" fillId="0" borderId="1" xfId="4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/>
    <xf numFmtId="164" fontId="2" fillId="0" borderId="0" xfId="3" applyNumberFormat="1" applyAlignment="1" applyProtection="1">
      <alignment horizontal="right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44" fontId="5" fillId="0" borderId="0" xfId="1" applyFont="1" applyFill="1"/>
    <xf numFmtId="9" fontId="5" fillId="0" borderId="0" xfId="2" applyFont="1" applyFill="1" applyAlignment="1">
      <alignment horizontal="center"/>
    </xf>
    <xf numFmtId="164" fontId="5" fillId="0" borderId="3" xfId="1" applyNumberFormat="1" applyFont="1" applyFill="1" applyBorder="1"/>
    <xf numFmtId="14" fontId="6" fillId="0" borderId="1" xfId="0" applyNumberFormat="1" applyFont="1" applyBorder="1" applyAlignment="1">
      <alignment horizontal="left"/>
    </xf>
    <xf numFmtId="0" fontId="7" fillId="0" borderId="0" xfId="0" applyFont="1"/>
    <xf numFmtId="9" fontId="8" fillId="2" borderId="1" xfId="2" applyFont="1" applyFill="1" applyBorder="1" applyAlignment="1">
      <alignment horizontal="center"/>
    </xf>
    <xf numFmtId="164" fontId="5" fillId="3" borderId="2" xfId="1" applyNumberFormat="1" applyFont="1" applyFill="1" applyBorder="1"/>
    <xf numFmtId="9" fontId="6" fillId="2" borderId="1" xfId="2" applyFont="1" applyFill="1" applyBorder="1" applyAlignment="1">
      <alignment horizontal="center"/>
    </xf>
    <xf numFmtId="164" fontId="5" fillId="0" borderId="2" xfId="1" applyNumberFormat="1" applyFont="1" applyFill="1" applyBorder="1"/>
    <xf numFmtId="9" fontId="5" fillId="0" borderId="1" xfId="2" applyFont="1" applyFill="1" applyBorder="1" applyAlignment="1">
      <alignment horizontal="center"/>
    </xf>
    <xf numFmtId="9" fontId="6" fillId="0" borderId="1" xfId="2" applyFont="1" applyFill="1" applyBorder="1" applyAlignment="1">
      <alignment horizontal="center"/>
    </xf>
    <xf numFmtId="0" fontId="6" fillId="0" borderId="0" xfId="0" applyFont="1"/>
    <xf numFmtId="164" fontId="5" fillId="0" borderId="0" xfId="1" applyNumberFormat="1" applyFont="1" applyFill="1" applyBorder="1"/>
    <xf numFmtId="0" fontId="5" fillId="0" borderId="0" xfId="0" applyFont="1" applyAlignment="1">
      <alignment horizontal="right"/>
    </xf>
    <xf numFmtId="9" fontId="6" fillId="0" borderId="0" xfId="2" applyFont="1" applyFill="1" applyAlignment="1">
      <alignment horizontal="center"/>
    </xf>
    <xf numFmtId="164" fontId="9" fillId="0" borderId="1" xfId="4" applyNumberFormat="1" applyFont="1" applyFill="1" applyBorder="1" applyAlignment="1">
      <alignment horizontal="center"/>
    </xf>
    <xf numFmtId="164" fontId="6" fillId="0" borderId="3" xfId="1" applyNumberFormat="1" applyFont="1" applyFill="1" applyBorder="1"/>
    <xf numFmtId="1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5" fillId="4" borderId="3" xfId="1" applyNumberFormat="1" applyFont="1" applyFill="1" applyBorder="1"/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alamocityspin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7"/>
  <sheetViews>
    <sheetView tabSelected="1" view="pageBreakPreview" zoomScaleNormal="100" zoomScaleSheetLayoutView="100" workbookViewId="0">
      <pane ySplit="3" topLeftCell="A223" activePane="bottomLeft" state="frozen"/>
      <selection pane="bottomLeft" activeCell="M214" sqref="M214"/>
    </sheetView>
  </sheetViews>
  <sheetFormatPr defaultColWidth="8.85546875" defaultRowHeight="12.75" x14ac:dyDescent="0.2"/>
  <cols>
    <col min="1" max="1" width="4.7109375" style="1" customWidth="1"/>
    <col min="2" max="2" width="11" style="1" customWidth="1"/>
    <col min="3" max="3" width="39.85546875" style="1" bestFit="1" customWidth="1"/>
    <col min="4" max="4" width="16.28515625" style="1" bestFit="1" customWidth="1"/>
    <col min="5" max="5" width="7.140625" style="1" bestFit="1" customWidth="1"/>
    <col min="6" max="6" width="9.85546875" style="9" bestFit="1" customWidth="1"/>
    <col min="7" max="7" width="11.140625" style="2" bestFit="1" customWidth="1"/>
    <col min="8" max="8" width="11.140625" style="3" customWidth="1"/>
    <col min="9" max="9" width="25" style="3" bestFit="1" customWidth="1"/>
    <col min="10" max="10" width="10.7109375" style="3" bestFit="1" customWidth="1"/>
    <col min="11" max="11" width="24.7109375" style="4" bestFit="1" customWidth="1"/>
    <col min="12" max="12" width="10.42578125" style="1" bestFit="1" customWidth="1"/>
    <col min="13" max="16384" width="8.85546875" style="1"/>
  </cols>
  <sheetData>
    <row r="1" spans="1:19" s="12" customFormat="1" ht="37.5" customHeight="1" x14ac:dyDescent="0.25">
      <c r="B1" s="8" t="s">
        <v>4</v>
      </c>
      <c r="C1" s="8" t="s">
        <v>0</v>
      </c>
      <c r="D1" s="8" t="s">
        <v>8</v>
      </c>
      <c r="E1" s="8" t="s">
        <v>9</v>
      </c>
      <c r="F1" s="8" t="s">
        <v>5</v>
      </c>
      <c r="G1" s="13" t="s">
        <v>1</v>
      </c>
      <c r="H1" s="8" t="s">
        <v>2</v>
      </c>
      <c r="I1" s="8" t="s">
        <v>3</v>
      </c>
      <c r="J1" s="8" t="s">
        <v>7</v>
      </c>
      <c r="K1" s="13" t="s">
        <v>23</v>
      </c>
      <c r="L1" s="9" t="s">
        <v>6</v>
      </c>
      <c r="M1" s="14" t="s">
        <v>10</v>
      </c>
      <c r="O1" s="9"/>
      <c r="P1" s="9"/>
      <c r="Q1" s="9"/>
      <c r="R1" s="9"/>
      <c r="S1" s="9"/>
    </row>
    <row r="2" spans="1:19" ht="15" x14ac:dyDescent="0.25">
      <c r="K2" s="11" t="s">
        <v>12</v>
      </c>
      <c r="L2" s="10">
        <v>45099</v>
      </c>
      <c r="M2" s="1" t="s">
        <v>11</v>
      </c>
    </row>
    <row r="3" spans="1:19" ht="12" customHeight="1" x14ac:dyDescent="0.25">
      <c r="K3" s="11" t="s">
        <v>15</v>
      </c>
      <c r="M3" s="1" t="s">
        <v>14</v>
      </c>
    </row>
    <row r="4" spans="1:19" ht="12" customHeight="1" x14ac:dyDescent="0.25">
      <c r="K4" s="11"/>
      <c r="L4" s="10"/>
    </row>
    <row r="5" spans="1:19" x14ac:dyDescent="0.2">
      <c r="A5" s="1" t="s">
        <v>25</v>
      </c>
      <c r="B5" s="6">
        <v>45643</v>
      </c>
      <c r="C5" s="19" t="s">
        <v>19</v>
      </c>
      <c r="D5" s="6" t="s">
        <v>26</v>
      </c>
      <c r="E5" s="6" t="s">
        <v>13</v>
      </c>
      <c r="F5" s="5" t="s">
        <v>22</v>
      </c>
      <c r="G5" s="7">
        <v>4650</v>
      </c>
      <c r="H5" s="6">
        <v>45667</v>
      </c>
      <c r="I5" s="15" t="s">
        <v>27</v>
      </c>
      <c r="J5" s="25">
        <v>0.4</v>
      </c>
      <c r="K5" s="18">
        <f t="shared" ref="K5:K6" si="0">IF(I5="",0,+G5*J5)</f>
        <v>1860</v>
      </c>
      <c r="L5" s="27" t="s">
        <v>33</v>
      </c>
    </row>
    <row r="6" spans="1:19" x14ac:dyDescent="0.2">
      <c r="B6" s="6">
        <v>45643</v>
      </c>
      <c r="C6" s="19" t="s">
        <v>28</v>
      </c>
      <c r="D6" s="6" t="s">
        <v>16</v>
      </c>
      <c r="E6" s="6" t="s">
        <v>13</v>
      </c>
      <c r="F6" s="5" t="s">
        <v>29</v>
      </c>
      <c r="G6" s="7">
        <v>2510</v>
      </c>
      <c r="H6" s="6" t="s">
        <v>120</v>
      </c>
      <c r="I6" s="15" t="s">
        <v>120</v>
      </c>
      <c r="J6" s="25">
        <v>0.4</v>
      </c>
      <c r="K6" s="18">
        <f t="shared" si="0"/>
        <v>1004</v>
      </c>
      <c r="L6" s="27" t="s">
        <v>161</v>
      </c>
    </row>
    <row r="7" spans="1:19" x14ac:dyDescent="0.2">
      <c r="D7" s="16"/>
      <c r="E7" s="3"/>
      <c r="F7" s="3"/>
      <c r="J7" s="17"/>
    </row>
    <row r="8" spans="1:19" x14ac:dyDescent="0.2">
      <c r="D8" s="16"/>
      <c r="E8" s="3"/>
      <c r="F8" s="3"/>
      <c r="J8" s="17"/>
    </row>
    <row r="9" spans="1:19" x14ac:dyDescent="0.2">
      <c r="A9" s="1" t="s">
        <v>34</v>
      </c>
      <c r="B9" s="6">
        <v>45658</v>
      </c>
      <c r="C9" s="19" t="s">
        <v>30</v>
      </c>
      <c r="D9" s="6" t="s">
        <v>16</v>
      </c>
      <c r="E9" s="6" t="s">
        <v>13</v>
      </c>
      <c r="F9" s="5" t="s">
        <v>17</v>
      </c>
      <c r="G9" s="7">
        <v>230.79</v>
      </c>
      <c r="H9" s="6">
        <v>45667</v>
      </c>
      <c r="I9" s="15" t="s">
        <v>31</v>
      </c>
      <c r="J9" s="26">
        <v>0.5</v>
      </c>
      <c r="K9" s="18">
        <f>IF(I9="",0,+G9*J9)</f>
        <v>115.395</v>
      </c>
      <c r="L9" s="27" t="s">
        <v>46</v>
      </c>
    </row>
    <row r="10" spans="1:19" x14ac:dyDescent="0.2">
      <c r="B10" s="6">
        <v>45658</v>
      </c>
      <c r="C10" s="19" t="s">
        <v>30</v>
      </c>
      <c r="D10" s="6" t="s">
        <v>16</v>
      </c>
      <c r="E10" s="6" t="s">
        <v>13</v>
      </c>
      <c r="F10" s="5" t="s">
        <v>17</v>
      </c>
      <c r="G10" s="7">
        <v>1661.83</v>
      </c>
      <c r="H10" s="6">
        <v>45671</v>
      </c>
      <c r="I10" s="15" t="s">
        <v>32</v>
      </c>
      <c r="J10" s="26">
        <v>0.5</v>
      </c>
      <c r="K10" s="18">
        <f>IF(I10="",0,+G10*J10)</f>
        <v>830.91499999999996</v>
      </c>
      <c r="L10" s="27" t="s">
        <v>46</v>
      </c>
    </row>
    <row r="11" spans="1:19" x14ac:dyDescent="0.2">
      <c r="B11" s="6">
        <v>45659</v>
      </c>
      <c r="C11" s="19" t="s">
        <v>30</v>
      </c>
      <c r="D11" s="6" t="s">
        <v>16</v>
      </c>
      <c r="E11" s="6" t="s">
        <v>13</v>
      </c>
      <c r="F11" s="5" t="s">
        <v>17</v>
      </c>
      <c r="G11" s="7">
        <v>14479.77</v>
      </c>
      <c r="H11" s="6">
        <v>45671</v>
      </c>
      <c r="I11" s="15" t="s">
        <v>35</v>
      </c>
      <c r="J11" s="26">
        <v>0.5</v>
      </c>
      <c r="K11" s="18">
        <f t="shared" ref="K11:K17" si="1">IF(I11="",0,+G11*J11)</f>
        <v>7239.8850000000002</v>
      </c>
      <c r="L11" s="27" t="s">
        <v>46</v>
      </c>
    </row>
    <row r="12" spans="1:19" x14ac:dyDescent="0.2">
      <c r="B12" s="6">
        <v>45659</v>
      </c>
      <c r="C12" s="19" t="s">
        <v>30</v>
      </c>
      <c r="D12" s="6" t="s">
        <v>16</v>
      </c>
      <c r="E12" s="6" t="s">
        <v>13</v>
      </c>
      <c r="F12" s="5" t="s">
        <v>17</v>
      </c>
      <c r="G12" s="7">
        <v>30819.1</v>
      </c>
      <c r="H12" s="6">
        <v>45702</v>
      </c>
      <c r="I12" s="15" t="s">
        <v>36</v>
      </c>
      <c r="J12" s="26">
        <v>0.5</v>
      </c>
      <c r="K12" s="18">
        <f t="shared" si="1"/>
        <v>15409.55</v>
      </c>
      <c r="L12" s="20"/>
    </row>
    <row r="13" spans="1:19" x14ac:dyDescent="0.2">
      <c r="B13" s="6">
        <v>45664</v>
      </c>
      <c r="C13" s="19" t="s">
        <v>19</v>
      </c>
      <c r="D13" s="6" t="s">
        <v>20</v>
      </c>
      <c r="E13" s="6" t="s">
        <v>13</v>
      </c>
      <c r="F13" s="5" t="s">
        <v>21</v>
      </c>
      <c r="G13" s="7">
        <v>1900</v>
      </c>
      <c r="H13" s="6">
        <v>45671</v>
      </c>
      <c r="I13" s="15" t="s">
        <v>37</v>
      </c>
      <c r="J13" s="26">
        <v>0.4</v>
      </c>
      <c r="K13" s="18">
        <f t="shared" si="1"/>
        <v>760</v>
      </c>
    </row>
    <row r="14" spans="1:19" x14ac:dyDescent="0.2">
      <c r="B14" s="6">
        <v>45664</v>
      </c>
      <c r="C14" s="19" t="s">
        <v>19</v>
      </c>
      <c r="D14" s="6" t="s">
        <v>16</v>
      </c>
      <c r="E14" s="6" t="s">
        <v>13</v>
      </c>
      <c r="F14" s="5" t="s">
        <v>17</v>
      </c>
      <c r="G14" s="7">
        <v>12931.5</v>
      </c>
      <c r="H14" s="6">
        <v>45671</v>
      </c>
      <c r="I14" s="15" t="s">
        <v>38</v>
      </c>
      <c r="J14" s="26">
        <v>0.4</v>
      </c>
      <c r="K14" s="18">
        <f t="shared" si="1"/>
        <v>5172.6000000000004</v>
      </c>
    </row>
    <row r="15" spans="1:19" x14ac:dyDescent="0.2">
      <c r="B15" s="6">
        <v>45668</v>
      </c>
      <c r="C15" s="19" t="s">
        <v>30</v>
      </c>
      <c r="D15" s="6" t="s">
        <v>16</v>
      </c>
      <c r="E15" s="6" t="s">
        <v>13</v>
      </c>
      <c r="F15" s="5" t="s">
        <v>39</v>
      </c>
      <c r="G15" s="7">
        <v>22249.47</v>
      </c>
      <c r="H15" s="6">
        <v>45702</v>
      </c>
      <c r="I15" s="15" t="s">
        <v>40</v>
      </c>
      <c r="J15" s="26">
        <v>0.5</v>
      </c>
      <c r="K15" s="18">
        <f t="shared" si="1"/>
        <v>11124.735000000001</v>
      </c>
    </row>
    <row r="16" spans="1:19" x14ac:dyDescent="0.2">
      <c r="B16" s="6">
        <v>45678</v>
      </c>
      <c r="C16" s="19" t="s">
        <v>24</v>
      </c>
      <c r="D16" s="6" t="s">
        <v>16</v>
      </c>
      <c r="E16" s="6" t="s">
        <v>13</v>
      </c>
      <c r="F16" s="5" t="s">
        <v>17</v>
      </c>
      <c r="G16" s="7">
        <v>2960</v>
      </c>
      <c r="H16" s="6">
        <v>45692</v>
      </c>
      <c r="I16" s="15">
        <v>771351</v>
      </c>
      <c r="J16" s="26">
        <v>0.4</v>
      </c>
      <c r="K16" s="18">
        <f t="shared" si="1"/>
        <v>1184</v>
      </c>
    </row>
    <row r="17" spans="1:12" x14ac:dyDescent="0.2">
      <c r="B17" s="6">
        <v>45679</v>
      </c>
      <c r="C17" s="19" t="s">
        <v>24</v>
      </c>
      <c r="D17" s="6" t="s">
        <v>16</v>
      </c>
      <c r="E17" s="6" t="s">
        <v>13</v>
      </c>
      <c r="F17" s="5" t="s">
        <v>17</v>
      </c>
      <c r="G17" s="7">
        <v>2960</v>
      </c>
      <c r="H17" s="6">
        <v>45695</v>
      </c>
      <c r="I17" s="15">
        <v>771607</v>
      </c>
      <c r="J17" s="26">
        <v>0.4</v>
      </c>
      <c r="K17" s="18">
        <f t="shared" si="1"/>
        <v>1184</v>
      </c>
    </row>
    <row r="18" spans="1:12" x14ac:dyDescent="0.2">
      <c r="B18" s="6">
        <v>45680</v>
      </c>
      <c r="C18" s="19" t="s">
        <v>24</v>
      </c>
      <c r="D18" s="6" t="s">
        <v>16</v>
      </c>
      <c r="E18" s="6" t="s">
        <v>13</v>
      </c>
      <c r="F18" s="5" t="s">
        <v>17</v>
      </c>
      <c r="G18" s="7">
        <v>300</v>
      </c>
      <c r="H18" s="6">
        <v>45692</v>
      </c>
      <c r="I18" s="15">
        <v>768331</v>
      </c>
      <c r="J18" s="26">
        <v>0.4</v>
      </c>
      <c r="K18" s="18">
        <f t="shared" ref="K18:K23" si="2">IF(I18="",0,+G18*J18)</f>
        <v>120</v>
      </c>
    </row>
    <row r="19" spans="1:12" x14ac:dyDescent="0.2">
      <c r="B19" s="6">
        <v>45680</v>
      </c>
      <c r="C19" s="19" t="s">
        <v>19</v>
      </c>
      <c r="D19" s="6" t="s">
        <v>20</v>
      </c>
      <c r="E19" s="6" t="s">
        <v>13</v>
      </c>
      <c r="F19" s="5" t="s">
        <v>21</v>
      </c>
      <c r="G19" s="7">
        <v>5300</v>
      </c>
      <c r="H19" s="6">
        <v>45692</v>
      </c>
      <c r="I19" s="15" t="s">
        <v>41</v>
      </c>
      <c r="J19" s="26">
        <v>0.4</v>
      </c>
      <c r="K19" s="18">
        <f t="shared" si="2"/>
        <v>2120</v>
      </c>
    </row>
    <row r="20" spans="1:12" x14ac:dyDescent="0.2">
      <c r="B20" s="6">
        <v>45680</v>
      </c>
      <c r="C20" s="19" t="s">
        <v>19</v>
      </c>
      <c r="D20" s="6" t="s">
        <v>20</v>
      </c>
      <c r="E20" s="6" t="s">
        <v>13</v>
      </c>
      <c r="F20" s="5" t="s">
        <v>22</v>
      </c>
      <c r="G20" s="7">
        <v>3100</v>
      </c>
      <c r="H20" s="6">
        <v>45692</v>
      </c>
      <c r="I20" s="15" t="s">
        <v>42</v>
      </c>
      <c r="J20" s="26">
        <v>0.4</v>
      </c>
      <c r="K20" s="18">
        <f t="shared" si="2"/>
        <v>1240</v>
      </c>
    </row>
    <row r="21" spans="1:12" x14ac:dyDescent="0.2">
      <c r="B21" s="6">
        <v>45681</v>
      </c>
      <c r="C21" s="19" t="s">
        <v>30</v>
      </c>
      <c r="D21" s="6" t="s">
        <v>16</v>
      </c>
      <c r="E21" s="6" t="s">
        <v>13</v>
      </c>
      <c r="F21" s="5" t="s">
        <v>17</v>
      </c>
      <c r="G21" s="7">
        <v>89690.23</v>
      </c>
      <c r="H21" s="6">
        <v>45702</v>
      </c>
      <c r="I21" s="15" t="s">
        <v>43</v>
      </c>
      <c r="J21" s="26">
        <v>0.5</v>
      </c>
      <c r="K21" s="18">
        <f>IF(I21="",0,+G21*J21)</f>
        <v>44845.114999999998</v>
      </c>
    </row>
    <row r="22" spans="1:12" x14ac:dyDescent="0.2">
      <c r="B22" s="6">
        <v>45685</v>
      </c>
      <c r="C22" s="19" t="s">
        <v>30</v>
      </c>
      <c r="D22" s="6" t="s">
        <v>16</v>
      </c>
      <c r="E22" s="6" t="s">
        <v>13</v>
      </c>
      <c r="F22" s="5" t="s">
        <v>17</v>
      </c>
      <c r="G22" s="7">
        <v>12801.54</v>
      </c>
      <c r="H22" s="6">
        <v>45702</v>
      </c>
      <c r="I22" s="15" t="s">
        <v>44</v>
      </c>
      <c r="J22" s="26">
        <v>0.5</v>
      </c>
      <c r="K22" s="18">
        <f t="shared" si="2"/>
        <v>6400.77</v>
      </c>
    </row>
    <row r="23" spans="1:12" ht="13.5" thickBot="1" x14ac:dyDescent="0.25">
      <c r="B23" s="6">
        <v>45685</v>
      </c>
      <c r="C23" s="19" t="s">
        <v>45</v>
      </c>
      <c r="D23" s="6" t="s">
        <v>16</v>
      </c>
      <c r="E23" s="6" t="s">
        <v>13</v>
      </c>
      <c r="F23" s="5" t="s">
        <v>17</v>
      </c>
      <c r="G23" s="7">
        <v>5560</v>
      </c>
      <c r="H23" s="6">
        <v>45702</v>
      </c>
      <c r="I23" s="15">
        <v>773922</v>
      </c>
      <c r="J23" s="26">
        <v>0.4</v>
      </c>
      <c r="K23" s="18">
        <f t="shared" si="2"/>
        <v>2224</v>
      </c>
    </row>
    <row r="24" spans="1:12" ht="13.5" thickBot="1" x14ac:dyDescent="0.25">
      <c r="G24" s="2">
        <f>SUM(G9:G23)</f>
        <v>206944.23</v>
      </c>
      <c r="K24" s="24">
        <f>SUM(K9:K23)</f>
        <v>99970.965000000011</v>
      </c>
    </row>
    <row r="25" spans="1:12" x14ac:dyDescent="0.2">
      <c r="D25" s="16"/>
      <c r="E25" s="3"/>
      <c r="F25" s="3"/>
      <c r="J25" s="17"/>
    </row>
    <row r="26" spans="1:12" x14ac:dyDescent="0.2">
      <c r="D26" s="16"/>
      <c r="E26" s="3"/>
      <c r="F26" s="3"/>
      <c r="J26" s="17" t="s">
        <v>18</v>
      </c>
      <c r="K26" s="4">
        <f>K5+K24</f>
        <v>101830.96500000001</v>
      </c>
    </row>
    <row r="27" spans="1:12" x14ac:dyDescent="0.2">
      <c r="D27" s="16"/>
      <c r="E27" s="3"/>
      <c r="F27" s="3"/>
      <c r="J27" s="17"/>
    </row>
    <row r="28" spans="1:12" x14ac:dyDescent="0.2">
      <c r="A28" s="1" t="s">
        <v>47</v>
      </c>
      <c r="B28" s="6">
        <v>45692</v>
      </c>
      <c r="C28" s="19" t="s">
        <v>48</v>
      </c>
      <c r="D28" s="6" t="s">
        <v>16</v>
      </c>
      <c r="E28" s="6" t="s">
        <v>13</v>
      </c>
      <c r="F28" s="5" t="s">
        <v>17</v>
      </c>
      <c r="G28" s="7">
        <v>6230</v>
      </c>
      <c r="H28" s="6">
        <v>45702</v>
      </c>
      <c r="I28" s="15" t="s">
        <v>49</v>
      </c>
      <c r="J28" s="26">
        <v>0.4</v>
      </c>
      <c r="K28" s="18">
        <f>IF(I28="",0,+G28*J28)</f>
        <v>2492</v>
      </c>
    </row>
    <row r="29" spans="1:12" x14ac:dyDescent="0.2">
      <c r="B29" s="6">
        <v>45694</v>
      </c>
      <c r="C29" s="19" t="s">
        <v>50</v>
      </c>
      <c r="D29" s="6" t="s">
        <v>16</v>
      </c>
      <c r="E29" s="6" t="s">
        <v>13</v>
      </c>
      <c r="F29" s="5" t="s">
        <v>17</v>
      </c>
      <c r="G29" s="7">
        <v>6860</v>
      </c>
      <c r="H29" s="6"/>
      <c r="I29" s="15"/>
      <c r="J29" s="26">
        <v>0.4</v>
      </c>
      <c r="K29" s="18">
        <f>IF(I29="",0,+G29*J29)</f>
        <v>0</v>
      </c>
      <c r="L29" s="27" t="s">
        <v>64</v>
      </c>
    </row>
    <row r="30" spans="1:12" x14ac:dyDescent="0.2">
      <c r="B30" s="6">
        <v>45694</v>
      </c>
      <c r="C30" s="19" t="s">
        <v>51</v>
      </c>
      <c r="D30" s="6" t="s">
        <v>16</v>
      </c>
      <c r="E30" s="6" t="s">
        <v>13</v>
      </c>
      <c r="F30" s="5" t="s">
        <v>17</v>
      </c>
      <c r="G30" s="7">
        <v>2670</v>
      </c>
      <c r="H30" s="6">
        <v>45713</v>
      </c>
      <c r="I30" s="15" t="s">
        <v>52</v>
      </c>
      <c r="J30" s="26">
        <v>0.4</v>
      </c>
      <c r="K30" s="18">
        <f t="shared" ref="K30:K39" si="3">IF(I30="",0,+G30*J30)</f>
        <v>1068</v>
      </c>
    </row>
    <row r="31" spans="1:12" x14ac:dyDescent="0.2">
      <c r="B31" s="6">
        <v>45695</v>
      </c>
      <c r="C31" s="19" t="s">
        <v>30</v>
      </c>
      <c r="D31" s="6" t="s">
        <v>16</v>
      </c>
      <c r="E31" s="6" t="s">
        <v>13</v>
      </c>
      <c r="F31" s="5" t="s">
        <v>39</v>
      </c>
      <c r="G31" s="7">
        <v>41651.08</v>
      </c>
      <c r="H31" s="6">
        <v>45727</v>
      </c>
      <c r="I31" s="15" t="s">
        <v>53</v>
      </c>
      <c r="J31" s="26">
        <v>0.5</v>
      </c>
      <c r="K31" s="18">
        <f t="shared" si="3"/>
        <v>20825.54</v>
      </c>
    </row>
    <row r="32" spans="1:12" x14ac:dyDescent="0.2">
      <c r="B32" s="6">
        <v>45698</v>
      </c>
      <c r="C32" s="19" t="s">
        <v>54</v>
      </c>
      <c r="D32" s="6" t="s">
        <v>55</v>
      </c>
      <c r="E32" s="6" t="s">
        <v>13</v>
      </c>
      <c r="F32" s="5" t="s">
        <v>56</v>
      </c>
      <c r="G32" s="7">
        <v>9045</v>
      </c>
      <c r="H32" s="6">
        <v>45702</v>
      </c>
      <c r="I32" s="15">
        <v>414225</v>
      </c>
      <c r="J32" s="26">
        <v>0.4</v>
      </c>
      <c r="K32" s="18">
        <f t="shared" si="3"/>
        <v>3618</v>
      </c>
    </row>
    <row r="33" spans="1:12" x14ac:dyDescent="0.2">
      <c r="B33" s="6">
        <v>45699</v>
      </c>
      <c r="C33" s="19" t="s">
        <v>19</v>
      </c>
      <c r="D33" s="6" t="s">
        <v>16</v>
      </c>
      <c r="E33" s="6" t="s">
        <v>13</v>
      </c>
      <c r="F33" s="5" t="s">
        <v>17</v>
      </c>
      <c r="G33" s="7">
        <v>11310</v>
      </c>
      <c r="H33" s="6">
        <v>45702</v>
      </c>
      <c r="I33" s="15" t="s">
        <v>57</v>
      </c>
      <c r="J33" s="26">
        <v>0.4</v>
      </c>
      <c r="K33" s="18">
        <f t="shared" si="3"/>
        <v>4524</v>
      </c>
    </row>
    <row r="34" spans="1:12" x14ac:dyDescent="0.2">
      <c r="B34" s="6">
        <v>45700</v>
      </c>
      <c r="C34" s="19" t="s">
        <v>48</v>
      </c>
      <c r="D34" s="6" t="s">
        <v>16</v>
      </c>
      <c r="E34" s="6" t="s">
        <v>13</v>
      </c>
      <c r="F34" s="5" t="s">
        <v>17</v>
      </c>
      <c r="G34" s="7">
        <v>3290</v>
      </c>
      <c r="H34" s="6">
        <v>45716</v>
      </c>
      <c r="I34" s="15" t="s">
        <v>58</v>
      </c>
      <c r="J34" s="26">
        <v>0.4</v>
      </c>
      <c r="K34" s="18">
        <f t="shared" si="3"/>
        <v>1316</v>
      </c>
    </row>
    <row r="35" spans="1:12" x14ac:dyDescent="0.2">
      <c r="B35" s="6">
        <v>45701</v>
      </c>
      <c r="C35" s="19" t="s">
        <v>30</v>
      </c>
      <c r="D35" s="6" t="s">
        <v>16</v>
      </c>
      <c r="E35" s="6" t="s">
        <v>13</v>
      </c>
      <c r="F35" s="5" t="s">
        <v>17</v>
      </c>
      <c r="G35" s="7">
        <v>44658.91</v>
      </c>
      <c r="H35" s="6">
        <v>45727</v>
      </c>
      <c r="I35" s="15" t="s">
        <v>59</v>
      </c>
      <c r="J35" s="26">
        <v>0.5</v>
      </c>
      <c r="K35" s="18">
        <f t="shared" si="3"/>
        <v>22329.455000000002</v>
      </c>
    </row>
    <row r="36" spans="1:12" x14ac:dyDescent="0.2">
      <c r="B36" s="6">
        <v>45708</v>
      </c>
      <c r="C36" s="19" t="s">
        <v>19</v>
      </c>
      <c r="D36" s="6" t="s">
        <v>20</v>
      </c>
      <c r="E36" s="6" t="s">
        <v>13</v>
      </c>
      <c r="F36" s="5" t="s">
        <v>21</v>
      </c>
      <c r="G36" s="7">
        <v>6900</v>
      </c>
      <c r="H36" s="6">
        <v>45716</v>
      </c>
      <c r="I36" s="15" t="s">
        <v>60</v>
      </c>
      <c r="J36" s="26">
        <v>0.4</v>
      </c>
      <c r="K36" s="18">
        <f t="shared" si="3"/>
        <v>2760</v>
      </c>
    </row>
    <row r="37" spans="1:12" x14ac:dyDescent="0.2">
      <c r="B37" s="6">
        <v>45712</v>
      </c>
      <c r="C37" s="19" t="s">
        <v>54</v>
      </c>
      <c r="D37" s="6" t="s">
        <v>55</v>
      </c>
      <c r="E37" s="6" t="s">
        <v>13</v>
      </c>
      <c r="F37" s="5" t="s">
        <v>56</v>
      </c>
      <c r="G37" s="7">
        <v>4560</v>
      </c>
      <c r="H37" s="6">
        <v>45727</v>
      </c>
      <c r="I37" s="15">
        <v>416865</v>
      </c>
      <c r="J37" s="26">
        <v>0.4</v>
      </c>
      <c r="K37" s="18">
        <f t="shared" si="3"/>
        <v>1824</v>
      </c>
    </row>
    <row r="38" spans="1:12" x14ac:dyDescent="0.2">
      <c r="B38" s="6">
        <v>45713</v>
      </c>
      <c r="C38" s="19" t="s">
        <v>30</v>
      </c>
      <c r="D38" s="6" t="s">
        <v>16</v>
      </c>
      <c r="E38" s="6" t="s">
        <v>13</v>
      </c>
      <c r="F38" s="5" t="s">
        <v>17</v>
      </c>
      <c r="G38" s="7">
        <v>53709.54</v>
      </c>
      <c r="H38" s="6">
        <v>45727</v>
      </c>
      <c r="I38" s="15" t="s">
        <v>61</v>
      </c>
      <c r="J38" s="26">
        <v>0.5</v>
      </c>
      <c r="K38" s="18">
        <f t="shared" si="3"/>
        <v>26854.77</v>
      </c>
    </row>
    <row r="39" spans="1:12" x14ac:dyDescent="0.2">
      <c r="B39" s="6">
        <v>45715</v>
      </c>
      <c r="C39" s="19" t="s">
        <v>24</v>
      </c>
      <c r="D39" s="6" t="s">
        <v>20</v>
      </c>
      <c r="E39" s="6" t="s">
        <v>13</v>
      </c>
      <c r="F39" s="5" t="s">
        <v>21</v>
      </c>
      <c r="G39" s="7">
        <v>4597.5</v>
      </c>
      <c r="H39" s="6">
        <v>45729</v>
      </c>
      <c r="I39" s="15">
        <v>784695</v>
      </c>
      <c r="J39" s="26">
        <v>0.4</v>
      </c>
      <c r="K39" s="18">
        <f t="shared" si="3"/>
        <v>1839</v>
      </c>
      <c r="L39" s="20"/>
    </row>
    <row r="40" spans="1:12" ht="13.5" thickBot="1" x14ac:dyDescent="0.25">
      <c r="B40" s="6">
        <v>45716</v>
      </c>
      <c r="C40" s="19" t="s">
        <v>48</v>
      </c>
      <c r="D40" s="6" t="s">
        <v>16</v>
      </c>
      <c r="E40" s="6" t="s">
        <v>13</v>
      </c>
      <c r="F40" s="5" t="s">
        <v>17</v>
      </c>
      <c r="G40" s="7">
        <v>4640</v>
      </c>
      <c r="H40" s="6">
        <v>45727</v>
      </c>
      <c r="I40" s="15" t="s">
        <v>62</v>
      </c>
      <c r="J40" s="26">
        <v>0.4</v>
      </c>
      <c r="K40" s="18">
        <f>IF(I40="",0,+G40*J40)</f>
        <v>1856</v>
      </c>
    </row>
    <row r="41" spans="1:12" ht="13.5" thickBot="1" x14ac:dyDescent="0.25">
      <c r="G41" s="2">
        <f>SUM(G28:G40)</f>
        <v>200122.03</v>
      </c>
      <c r="K41" s="24">
        <f>SUM(K28:K40)</f>
        <v>91306.764999999999</v>
      </c>
    </row>
    <row r="42" spans="1:12" x14ac:dyDescent="0.2">
      <c r="D42" s="16"/>
      <c r="E42" s="3"/>
      <c r="F42" s="3"/>
      <c r="J42" s="17"/>
    </row>
    <row r="43" spans="1:12" x14ac:dyDescent="0.2">
      <c r="A43" s="1" t="s">
        <v>63</v>
      </c>
      <c r="B43" s="6">
        <v>45718</v>
      </c>
      <c r="C43" s="19" t="s">
        <v>48</v>
      </c>
      <c r="D43" s="6" t="s">
        <v>16</v>
      </c>
      <c r="E43" s="6" t="s">
        <v>13</v>
      </c>
      <c r="F43" s="5" t="s">
        <v>17</v>
      </c>
      <c r="G43" s="7">
        <v>7500</v>
      </c>
      <c r="H43" s="6">
        <v>45727</v>
      </c>
      <c r="I43" s="15" t="s">
        <v>65</v>
      </c>
      <c r="J43" s="26">
        <v>0.4</v>
      </c>
      <c r="K43" s="18">
        <f>IF(I43="",0,+G43*J43)</f>
        <v>3000</v>
      </c>
    </row>
    <row r="44" spans="1:12" x14ac:dyDescent="0.2">
      <c r="B44" s="6">
        <v>45720</v>
      </c>
      <c r="C44" s="19" t="s">
        <v>48</v>
      </c>
      <c r="D44" s="6" t="s">
        <v>16</v>
      </c>
      <c r="E44" s="6" t="s">
        <v>13</v>
      </c>
      <c r="F44" s="5" t="s">
        <v>17</v>
      </c>
      <c r="G44" s="7">
        <v>11300</v>
      </c>
      <c r="H44" s="6">
        <v>45727</v>
      </c>
      <c r="I44" s="15" t="s">
        <v>66</v>
      </c>
      <c r="J44" s="26">
        <v>0.4</v>
      </c>
      <c r="K44" s="18">
        <f>IF(I44="",0,+G44*J44)</f>
        <v>4520</v>
      </c>
    </row>
    <row r="45" spans="1:12" x14ac:dyDescent="0.2">
      <c r="B45" s="6">
        <v>45722</v>
      </c>
      <c r="C45" s="19" t="s">
        <v>19</v>
      </c>
      <c r="D45" s="6" t="s">
        <v>20</v>
      </c>
      <c r="E45" s="6" t="s">
        <v>13</v>
      </c>
      <c r="F45" s="5" t="s">
        <v>21</v>
      </c>
      <c r="G45" s="7">
        <v>4650</v>
      </c>
      <c r="H45" s="6">
        <v>45727</v>
      </c>
      <c r="I45" s="15" t="s">
        <v>67</v>
      </c>
      <c r="J45" s="26">
        <v>0.4</v>
      </c>
      <c r="K45" s="18">
        <f t="shared" ref="K45:K54" si="4">IF(I45="",0,+G45*J45)</f>
        <v>1860</v>
      </c>
    </row>
    <row r="46" spans="1:12" x14ac:dyDescent="0.2">
      <c r="B46" s="6">
        <v>45723</v>
      </c>
      <c r="C46" s="19" t="s">
        <v>48</v>
      </c>
      <c r="D46" s="6" t="s">
        <v>16</v>
      </c>
      <c r="E46" s="6" t="s">
        <v>13</v>
      </c>
      <c r="F46" s="5" t="s">
        <v>17</v>
      </c>
      <c r="G46" s="7">
        <v>4760</v>
      </c>
      <c r="H46" s="6">
        <v>45743</v>
      </c>
      <c r="I46" s="15" t="s">
        <v>68</v>
      </c>
      <c r="J46" s="26">
        <v>0.4</v>
      </c>
      <c r="K46" s="18">
        <f t="shared" si="4"/>
        <v>1904</v>
      </c>
    </row>
    <row r="47" spans="1:12" x14ac:dyDescent="0.2">
      <c r="B47" s="6">
        <v>45723</v>
      </c>
      <c r="C47" s="19" t="s">
        <v>48</v>
      </c>
      <c r="D47" s="6" t="s">
        <v>16</v>
      </c>
      <c r="E47" s="6" t="s">
        <v>13</v>
      </c>
      <c r="F47" s="5" t="s">
        <v>17</v>
      </c>
      <c r="G47" s="7">
        <v>7700</v>
      </c>
      <c r="H47" s="6">
        <v>45743</v>
      </c>
      <c r="I47" s="15" t="s">
        <v>69</v>
      </c>
      <c r="J47" s="26">
        <v>0.4</v>
      </c>
      <c r="K47" s="18">
        <f t="shared" si="4"/>
        <v>3080</v>
      </c>
    </row>
    <row r="48" spans="1:12" x14ac:dyDescent="0.2">
      <c r="B48" s="6">
        <v>45724</v>
      </c>
      <c r="C48" s="19" t="s">
        <v>48</v>
      </c>
      <c r="D48" s="6" t="s">
        <v>16</v>
      </c>
      <c r="E48" s="6" t="s">
        <v>13</v>
      </c>
      <c r="F48" s="5" t="s">
        <v>17</v>
      </c>
      <c r="G48" s="7">
        <v>6785</v>
      </c>
      <c r="H48" s="6">
        <v>45743</v>
      </c>
      <c r="I48" s="15" t="s">
        <v>80</v>
      </c>
      <c r="J48" s="26">
        <v>0.4</v>
      </c>
      <c r="K48" s="18">
        <f t="shared" si="4"/>
        <v>2714</v>
      </c>
    </row>
    <row r="49" spans="2:11" x14ac:dyDescent="0.2">
      <c r="B49" s="6">
        <v>45724</v>
      </c>
      <c r="C49" s="19" t="s">
        <v>48</v>
      </c>
      <c r="D49" s="6" t="s">
        <v>16</v>
      </c>
      <c r="E49" s="6" t="s">
        <v>13</v>
      </c>
      <c r="F49" s="5" t="s">
        <v>17</v>
      </c>
      <c r="G49" s="7">
        <v>4760</v>
      </c>
      <c r="H49" s="6">
        <v>45743</v>
      </c>
      <c r="I49" s="15" t="s">
        <v>70</v>
      </c>
      <c r="J49" s="26">
        <v>0.4</v>
      </c>
      <c r="K49" s="18">
        <f t="shared" si="4"/>
        <v>1904</v>
      </c>
    </row>
    <row r="50" spans="2:11" x14ac:dyDescent="0.2">
      <c r="B50" s="6">
        <v>45726</v>
      </c>
      <c r="C50" s="19" t="s">
        <v>24</v>
      </c>
      <c r="D50" s="6" t="s">
        <v>16</v>
      </c>
      <c r="E50" s="6" t="s">
        <v>13</v>
      </c>
      <c r="F50" s="5" t="s">
        <v>17</v>
      </c>
      <c r="G50" s="7">
        <v>4385</v>
      </c>
      <c r="H50" s="6">
        <v>45751</v>
      </c>
      <c r="I50" s="15">
        <v>790848</v>
      </c>
      <c r="J50" s="26">
        <v>0.4</v>
      </c>
      <c r="K50" s="18">
        <f t="shared" si="4"/>
        <v>1754</v>
      </c>
    </row>
    <row r="51" spans="2:11" x14ac:dyDescent="0.2">
      <c r="B51" s="6">
        <v>45726</v>
      </c>
      <c r="C51" s="19" t="s">
        <v>54</v>
      </c>
      <c r="D51" s="6" t="s">
        <v>55</v>
      </c>
      <c r="E51" s="6" t="s">
        <v>13</v>
      </c>
      <c r="F51" s="5" t="s">
        <v>56</v>
      </c>
      <c r="G51" s="7">
        <v>4560</v>
      </c>
      <c r="H51" s="6">
        <v>45743</v>
      </c>
      <c r="I51" s="15">
        <v>419534</v>
      </c>
      <c r="J51" s="26">
        <v>0.4</v>
      </c>
      <c r="K51" s="18">
        <f t="shared" si="4"/>
        <v>1824</v>
      </c>
    </row>
    <row r="52" spans="2:11" x14ac:dyDescent="0.2">
      <c r="B52" s="6">
        <v>45726</v>
      </c>
      <c r="C52" s="19" t="s">
        <v>54</v>
      </c>
      <c r="D52" s="6" t="s">
        <v>55</v>
      </c>
      <c r="E52" s="6" t="s">
        <v>13</v>
      </c>
      <c r="F52" s="5" t="s">
        <v>56</v>
      </c>
      <c r="G52" s="7">
        <v>9120</v>
      </c>
      <c r="H52" s="6">
        <v>45743</v>
      </c>
      <c r="I52" s="15">
        <v>419537</v>
      </c>
      <c r="J52" s="26">
        <v>0.4</v>
      </c>
      <c r="K52" s="18">
        <f t="shared" si="4"/>
        <v>3648</v>
      </c>
    </row>
    <row r="53" spans="2:11" x14ac:dyDescent="0.2">
      <c r="B53" s="6">
        <v>45727</v>
      </c>
      <c r="C53" s="19" t="s">
        <v>30</v>
      </c>
      <c r="D53" s="6" t="s">
        <v>16</v>
      </c>
      <c r="E53" s="6" t="s">
        <v>13</v>
      </c>
      <c r="F53" s="5" t="s">
        <v>71</v>
      </c>
      <c r="G53" s="7">
        <v>16520.650000000001</v>
      </c>
      <c r="H53" s="6">
        <v>45743</v>
      </c>
      <c r="I53" s="15" t="s">
        <v>72</v>
      </c>
      <c r="J53" s="26">
        <v>0.5</v>
      </c>
      <c r="K53" s="18">
        <f t="shared" si="4"/>
        <v>8260.3250000000007</v>
      </c>
    </row>
    <row r="54" spans="2:11" x14ac:dyDescent="0.2">
      <c r="B54" s="6">
        <v>45728</v>
      </c>
      <c r="C54" s="19" t="s">
        <v>48</v>
      </c>
      <c r="D54" s="6" t="s">
        <v>16</v>
      </c>
      <c r="E54" s="6" t="s">
        <v>13</v>
      </c>
      <c r="F54" s="5" t="s">
        <v>17</v>
      </c>
      <c r="G54" s="7">
        <v>4640</v>
      </c>
      <c r="H54" s="6">
        <v>45744</v>
      </c>
      <c r="I54" s="15" t="s">
        <v>73</v>
      </c>
      <c r="J54" s="26">
        <v>0.4</v>
      </c>
      <c r="K54" s="18">
        <f t="shared" si="4"/>
        <v>1856</v>
      </c>
    </row>
    <row r="55" spans="2:11" x14ac:dyDescent="0.2">
      <c r="B55" s="6">
        <v>45729</v>
      </c>
      <c r="C55" s="19" t="s">
        <v>30</v>
      </c>
      <c r="D55" s="6" t="s">
        <v>16</v>
      </c>
      <c r="E55" s="6" t="s">
        <v>13</v>
      </c>
      <c r="F55" s="5" t="s">
        <v>74</v>
      </c>
      <c r="G55" s="7">
        <v>52362.9</v>
      </c>
      <c r="H55" s="6">
        <v>45743</v>
      </c>
      <c r="I55" s="15" t="s">
        <v>75</v>
      </c>
      <c r="J55" s="26">
        <v>0.5</v>
      </c>
      <c r="K55" s="18">
        <f t="shared" ref="K55:K64" si="5">IF(I55="",0,+G55*J55)</f>
        <v>26181.45</v>
      </c>
    </row>
    <row r="56" spans="2:11" x14ac:dyDescent="0.2">
      <c r="B56" s="6">
        <v>45732</v>
      </c>
      <c r="C56" s="19" t="s">
        <v>24</v>
      </c>
      <c r="D56" s="6" t="s">
        <v>16</v>
      </c>
      <c r="E56" s="6" t="s">
        <v>13</v>
      </c>
      <c r="F56" s="5" t="s">
        <v>21</v>
      </c>
      <c r="G56" s="7">
        <v>4930</v>
      </c>
      <c r="H56" s="6">
        <v>45751</v>
      </c>
      <c r="I56" s="15">
        <v>790866</v>
      </c>
      <c r="J56" s="26">
        <v>0.4</v>
      </c>
      <c r="K56" s="18">
        <f t="shared" si="5"/>
        <v>1972</v>
      </c>
    </row>
    <row r="57" spans="2:11" x14ac:dyDescent="0.2">
      <c r="B57" s="6">
        <v>45733</v>
      </c>
      <c r="C57" s="19" t="s">
        <v>76</v>
      </c>
      <c r="D57" s="6" t="s">
        <v>16</v>
      </c>
      <c r="E57" s="6" t="s">
        <v>13</v>
      </c>
      <c r="F57" s="5" t="s">
        <v>29</v>
      </c>
      <c r="G57" s="7">
        <v>6460</v>
      </c>
      <c r="H57" s="6">
        <v>45744</v>
      </c>
      <c r="I57" s="15">
        <v>789434</v>
      </c>
      <c r="J57" s="26">
        <v>0.4</v>
      </c>
      <c r="K57" s="18">
        <f t="shared" si="5"/>
        <v>2584</v>
      </c>
    </row>
    <row r="58" spans="2:11" x14ac:dyDescent="0.2">
      <c r="B58" s="6">
        <v>45736</v>
      </c>
      <c r="C58" s="19" t="s">
        <v>30</v>
      </c>
      <c r="D58" s="6" t="s">
        <v>16</v>
      </c>
      <c r="E58" s="6" t="s">
        <v>13</v>
      </c>
      <c r="F58" s="5" t="s">
        <v>17</v>
      </c>
      <c r="G58" s="7">
        <v>47053.88</v>
      </c>
      <c r="H58" s="6">
        <v>45744</v>
      </c>
      <c r="I58" s="15" t="s">
        <v>77</v>
      </c>
      <c r="J58" s="26">
        <v>0.5</v>
      </c>
      <c r="K58" s="18">
        <f t="shared" si="5"/>
        <v>23526.94</v>
      </c>
    </row>
    <row r="59" spans="2:11" x14ac:dyDescent="0.2">
      <c r="B59" s="6">
        <v>45740</v>
      </c>
      <c r="C59" s="19" t="s">
        <v>30</v>
      </c>
      <c r="D59" s="6" t="s">
        <v>16</v>
      </c>
      <c r="E59" s="6" t="s">
        <v>13</v>
      </c>
      <c r="F59" s="5" t="s">
        <v>17</v>
      </c>
      <c r="G59" s="7">
        <v>79001.710000000006</v>
      </c>
      <c r="H59" s="6">
        <v>45757</v>
      </c>
      <c r="I59" s="15" t="s">
        <v>78</v>
      </c>
      <c r="J59" s="26">
        <v>0.5</v>
      </c>
      <c r="K59" s="18">
        <f t="shared" si="5"/>
        <v>39500.855000000003</v>
      </c>
    </row>
    <row r="60" spans="2:11" x14ac:dyDescent="0.2">
      <c r="B60" s="6">
        <v>45740</v>
      </c>
      <c r="C60" s="19" t="s">
        <v>24</v>
      </c>
      <c r="D60" s="6" t="s">
        <v>20</v>
      </c>
      <c r="E60" s="6" t="s">
        <v>13</v>
      </c>
      <c r="F60" s="5" t="s">
        <v>21</v>
      </c>
      <c r="G60" s="7">
        <v>4100</v>
      </c>
      <c r="H60" s="6">
        <v>45761</v>
      </c>
      <c r="I60" s="15">
        <v>795956</v>
      </c>
      <c r="J60" s="26">
        <v>0.4</v>
      </c>
      <c r="K60" s="18">
        <f t="shared" si="5"/>
        <v>1640</v>
      </c>
    </row>
    <row r="61" spans="2:11" x14ac:dyDescent="0.2">
      <c r="B61" s="6">
        <v>45742</v>
      </c>
      <c r="C61" s="19" t="s">
        <v>30</v>
      </c>
      <c r="D61" s="6" t="s">
        <v>16</v>
      </c>
      <c r="E61" s="6" t="s">
        <v>13</v>
      </c>
      <c r="F61" s="5" t="s">
        <v>71</v>
      </c>
      <c r="G61" s="7">
        <v>5298.61</v>
      </c>
      <c r="H61" s="6">
        <v>45790</v>
      </c>
      <c r="I61" s="15" t="s">
        <v>91</v>
      </c>
      <c r="J61" s="26">
        <v>0.5</v>
      </c>
      <c r="K61" s="18">
        <f t="shared" si="5"/>
        <v>2649.3049999999998</v>
      </c>
    </row>
    <row r="62" spans="2:11" x14ac:dyDescent="0.2">
      <c r="B62" s="6">
        <v>45742</v>
      </c>
      <c r="C62" s="19" t="s">
        <v>30</v>
      </c>
      <c r="D62" s="6" t="s">
        <v>16</v>
      </c>
      <c r="E62" s="6" t="s">
        <v>13</v>
      </c>
      <c r="F62" s="5" t="s">
        <v>71</v>
      </c>
      <c r="G62" s="7">
        <v>17435.11</v>
      </c>
      <c r="H62" s="6">
        <v>45757</v>
      </c>
      <c r="I62" s="15" t="s">
        <v>79</v>
      </c>
      <c r="J62" s="26">
        <v>0.5</v>
      </c>
      <c r="K62" s="18">
        <f t="shared" si="5"/>
        <v>8717.5550000000003</v>
      </c>
    </row>
    <row r="63" spans="2:11" x14ac:dyDescent="0.2">
      <c r="B63" s="6">
        <v>45743</v>
      </c>
      <c r="C63" s="19" t="s">
        <v>24</v>
      </c>
      <c r="D63" s="6" t="s">
        <v>20</v>
      </c>
      <c r="E63" s="6" t="s">
        <v>13</v>
      </c>
      <c r="F63" s="5" t="s">
        <v>21</v>
      </c>
      <c r="G63" s="7">
        <v>2400</v>
      </c>
      <c r="H63" s="6">
        <v>45757</v>
      </c>
      <c r="I63" s="15">
        <v>794376</v>
      </c>
      <c r="J63" s="26">
        <v>0.4</v>
      </c>
      <c r="K63" s="18">
        <f t="shared" si="5"/>
        <v>960</v>
      </c>
    </row>
    <row r="64" spans="2:11" x14ac:dyDescent="0.2">
      <c r="B64" s="6">
        <v>45743</v>
      </c>
      <c r="C64" s="19" t="s">
        <v>30</v>
      </c>
      <c r="D64" s="6" t="s">
        <v>16</v>
      </c>
      <c r="E64" s="6" t="s">
        <v>13</v>
      </c>
      <c r="F64" s="5" t="s">
        <v>17</v>
      </c>
      <c r="G64" s="7">
        <v>52384.82</v>
      </c>
      <c r="H64" s="6">
        <v>45790</v>
      </c>
      <c r="I64" s="15" t="s">
        <v>92</v>
      </c>
      <c r="J64" s="26">
        <v>0.5</v>
      </c>
      <c r="K64" s="18">
        <f t="shared" si="5"/>
        <v>26192.41</v>
      </c>
    </row>
    <row r="65" spans="1:11" ht="13.5" thickBot="1" x14ac:dyDescent="0.25">
      <c r="B65" s="6">
        <v>45744</v>
      </c>
      <c r="C65" s="19" t="s">
        <v>24</v>
      </c>
      <c r="D65" s="6" t="s">
        <v>16</v>
      </c>
      <c r="E65" s="6" t="s">
        <v>13</v>
      </c>
      <c r="F65" s="5" t="s">
        <v>21</v>
      </c>
      <c r="G65" s="7">
        <v>5405</v>
      </c>
      <c r="H65" s="6">
        <v>45751</v>
      </c>
      <c r="I65" s="15">
        <v>791523</v>
      </c>
      <c r="J65" s="26">
        <v>0.4</v>
      </c>
      <c r="K65" s="18">
        <f>IF(I65="",0,+G65*J65)</f>
        <v>2162</v>
      </c>
    </row>
    <row r="66" spans="1:11" ht="13.5" thickBot="1" x14ac:dyDescent="0.25">
      <c r="G66" s="2">
        <f>SUM(G43:G65)</f>
        <v>363512.68</v>
      </c>
      <c r="K66" s="24">
        <f>K43+K44+K45+K46+K47+K48+K49+K50+K51+K52+K53+K54+K55+K56+K57+K58+K59+K60+K62+K63+K65</f>
        <v>143569.125</v>
      </c>
    </row>
    <row r="67" spans="1:11" x14ac:dyDescent="0.2">
      <c r="K67" s="28"/>
    </row>
    <row r="68" spans="1:11" x14ac:dyDescent="0.2">
      <c r="A68" s="1" t="s">
        <v>81</v>
      </c>
      <c r="B68" s="6">
        <v>45748</v>
      </c>
      <c r="C68" s="19" t="s">
        <v>48</v>
      </c>
      <c r="D68" s="6" t="s">
        <v>16</v>
      </c>
      <c r="E68" s="6" t="s">
        <v>13</v>
      </c>
      <c r="F68" s="5" t="s">
        <v>17</v>
      </c>
      <c r="G68" s="7">
        <v>7500</v>
      </c>
      <c r="H68" s="6">
        <v>45758</v>
      </c>
      <c r="I68" s="15" t="s">
        <v>82</v>
      </c>
      <c r="J68" s="26">
        <v>0.4</v>
      </c>
      <c r="K68" s="18">
        <f>IF(I68="",0,+G68*J68)</f>
        <v>3000</v>
      </c>
    </row>
    <row r="69" spans="1:11" x14ac:dyDescent="0.2">
      <c r="B69" s="6">
        <v>45752</v>
      </c>
      <c r="C69" s="19" t="s">
        <v>48</v>
      </c>
      <c r="D69" s="6" t="s">
        <v>16</v>
      </c>
      <c r="E69" s="6" t="s">
        <v>13</v>
      </c>
      <c r="F69" s="5" t="s">
        <v>17</v>
      </c>
      <c r="G69" s="7">
        <v>7225</v>
      </c>
      <c r="H69" s="6">
        <v>45758</v>
      </c>
      <c r="I69" s="15" t="s">
        <v>83</v>
      </c>
      <c r="J69" s="26">
        <v>0.4</v>
      </c>
      <c r="K69" s="18">
        <f>IF(I69="",0,+G69*J69)</f>
        <v>2890</v>
      </c>
    </row>
    <row r="70" spans="1:11" x14ac:dyDescent="0.2">
      <c r="B70" s="6">
        <v>45754</v>
      </c>
      <c r="C70" s="19" t="s">
        <v>48</v>
      </c>
      <c r="D70" s="6" t="s">
        <v>16</v>
      </c>
      <c r="E70" s="6" t="s">
        <v>13</v>
      </c>
      <c r="F70" s="5" t="s">
        <v>17</v>
      </c>
      <c r="G70" s="7">
        <v>2475</v>
      </c>
      <c r="H70" s="6">
        <v>45778</v>
      </c>
      <c r="I70" s="15" t="s">
        <v>84</v>
      </c>
      <c r="J70" s="26">
        <v>0.4</v>
      </c>
      <c r="K70" s="18">
        <f t="shared" ref="K70:K79" si="6">IF(I70="",0,+G70*J70)</f>
        <v>990</v>
      </c>
    </row>
    <row r="71" spans="1:11" x14ac:dyDescent="0.2">
      <c r="B71" s="6">
        <v>45756</v>
      </c>
      <c r="C71" s="19" t="s">
        <v>48</v>
      </c>
      <c r="D71" s="6" t="s">
        <v>16</v>
      </c>
      <c r="E71" s="6" t="s">
        <v>13</v>
      </c>
      <c r="F71" s="5" t="s">
        <v>17</v>
      </c>
      <c r="G71" s="7">
        <v>10640</v>
      </c>
      <c r="H71" s="6">
        <v>45778</v>
      </c>
      <c r="I71" s="15" t="s">
        <v>85</v>
      </c>
      <c r="J71" s="26">
        <v>0.4</v>
      </c>
      <c r="K71" s="18">
        <f t="shared" si="6"/>
        <v>4256</v>
      </c>
    </row>
    <row r="72" spans="1:11" x14ac:dyDescent="0.2">
      <c r="B72" s="6">
        <v>45758</v>
      </c>
      <c r="C72" s="19" t="s">
        <v>50</v>
      </c>
      <c r="D72" s="6" t="s">
        <v>16</v>
      </c>
      <c r="E72" s="6" t="s">
        <v>13</v>
      </c>
      <c r="F72" s="5" t="s">
        <v>21</v>
      </c>
      <c r="G72" s="7">
        <v>200</v>
      </c>
      <c r="H72" s="6">
        <v>45779</v>
      </c>
      <c r="I72" s="15">
        <v>798521</v>
      </c>
      <c r="J72" s="26">
        <v>0.4</v>
      </c>
      <c r="K72" s="18">
        <f t="shared" si="6"/>
        <v>80</v>
      </c>
    </row>
    <row r="73" spans="1:11" x14ac:dyDescent="0.2">
      <c r="B73" s="6">
        <v>45768</v>
      </c>
      <c r="C73" s="19" t="s">
        <v>28</v>
      </c>
      <c r="D73" s="6" t="s">
        <v>16</v>
      </c>
      <c r="E73" s="6" t="s">
        <v>13</v>
      </c>
      <c r="F73" s="5" t="s">
        <v>86</v>
      </c>
      <c r="G73" s="7">
        <v>4320</v>
      </c>
      <c r="H73" s="6">
        <v>45792</v>
      </c>
      <c r="I73" s="15">
        <v>2089001</v>
      </c>
      <c r="J73" s="26">
        <v>0.4</v>
      </c>
      <c r="K73" s="18">
        <f t="shared" si="6"/>
        <v>1728</v>
      </c>
    </row>
    <row r="74" spans="1:11" x14ac:dyDescent="0.2">
      <c r="B74" s="6">
        <v>45768</v>
      </c>
      <c r="C74" s="19" t="s">
        <v>48</v>
      </c>
      <c r="D74" s="6" t="s">
        <v>16</v>
      </c>
      <c r="E74" s="6" t="s">
        <v>13</v>
      </c>
      <c r="F74" s="5" t="s">
        <v>17</v>
      </c>
      <c r="G74" s="7">
        <v>4760</v>
      </c>
      <c r="H74" s="6">
        <v>45779</v>
      </c>
      <c r="I74" s="15" t="s">
        <v>87</v>
      </c>
      <c r="J74" s="26">
        <v>0.4</v>
      </c>
      <c r="K74" s="18">
        <f t="shared" si="6"/>
        <v>1904</v>
      </c>
    </row>
    <row r="75" spans="1:11" x14ac:dyDescent="0.2">
      <c r="B75" s="6">
        <v>45768</v>
      </c>
      <c r="C75" s="19" t="s">
        <v>54</v>
      </c>
      <c r="D75" s="6" t="s">
        <v>55</v>
      </c>
      <c r="E75" s="6" t="s">
        <v>13</v>
      </c>
      <c r="F75" s="5" t="s">
        <v>56</v>
      </c>
      <c r="G75" s="7">
        <v>4560</v>
      </c>
      <c r="H75" s="6">
        <v>45779</v>
      </c>
      <c r="I75" s="15">
        <v>427501</v>
      </c>
      <c r="J75" s="26">
        <v>0.4</v>
      </c>
      <c r="K75" s="18">
        <f t="shared" si="6"/>
        <v>1824</v>
      </c>
    </row>
    <row r="76" spans="1:11" x14ac:dyDescent="0.2">
      <c r="B76" s="6">
        <v>45768</v>
      </c>
      <c r="C76" s="19" t="s">
        <v>30</v>
      </c>
      <c r="D76" s="6" t="s">
        <v>16</v>
      </c>
      <c r="E76" s="6" t="s">
        <v>13</v>
      </c>
      <c r="F76" s="5" t="s">
        <v>17</v>
      </c>
      <c r="G76" s="7">
        <v>77265.97</v>
      </c>
      <c r="H76" s="6">
        <v>45779</v>
      </c>
      <c r="I76" s="15" t="s">
        <v>88</v>
      </c>
      <c r="J76" s="26">
        <v>0.5</v>
      </c>
      <c r="K76" s="18">
        <f t="shared" si="6"/>
        <v>38632.985000000001</v>
      </c>
    </row>
    <row r="77" spans="1:11" x14ac:dyDescent="0.2">
      <c r="B77" s="6">
        <v>45771</v>
      </c>
      <c r="C77" s="19" t="s">
        <v>30</v>
      </c>
      <c r="D77" s="6" t="s">
        <v>16</v>
      </c>
      <c r="E77" s="6" t="s">
        <v>13</v>
      </c>
      <c r="F77" s="5" t="s">
        <v>17</v>
      </c>
      <c r="G77" s="7">
        <v>23848.28</v>
      </c>
      <c r="H77" s="6">
        <v>45779</v>
      </c>
      <c r="I77" s="15" t="s">
        <v>89</v>
      </c>
      <c r="J77" s="26">
        <v>0.5</v>
      </c>
      <c r="K77" s="18">
        <f t="shared" si="6"/>
        <v>11924.14</v>
      </c>
    </row>
    <row r="78" spans="1:11" x14ac:dyDescent="0.2">
      <c r="B78" s="6">
        <v>45773</v>
      </c>
      <c r="C78" s="19" t="s">
        <v>48</v>
      </c>
      <c r="D78" s="6" t="s">
        <v>16</v>
      </c>
      <c r="E78" s="6" t="s">
        <v>13</v>
      </c>
      <c r="F78" s="5" t="s">
        <v>17</v>
      </c>
      <c r="G78" s="7">
        <v>7500</v>
      </c>
      <c r="H78" s="6">
        <v>45790</v>
      </c>
      <c r="I78" s="15" t="s">
        <v>90</v>
      </c>
      <c r="J78" s="26">
        <v>0.4</v>
      </c>
      <c r="K78" s="18">
        <f t="shared" si="6"/>
        <v>3000</v>
      </c>
    </row>
    <row r="79" spans="1:11" x14ac:dyDescent="0.2">
      <c r="B79" s="6">
        <v>45775</v>
      </c>
      <c r="C79" s="19" t="s">
        <v>28</v>
      </c>
      <c r="D79" s="6" t="s">
        <v>16</v>
      </c>
      <c r="E79" s="6" t="s">
        <v>13</v>
      </c>
      <c r="F79" s="5" t="s">
        <v>29</v>
      </c>
      <c r="G79" s="7">
        <v>4650</v>
      </c>
      <c r="H79" s="6">
        <v>45790</v>
      </c>
      <c r="I79" s="15">
        <v>2095343</v>
      </c>
      <c r="J79" s="26">
        <v>0.4</v>
      </c>
      <c r="K79" s="18">
        <f t="shared" si="6"/>
        <v>1860</v>
      </c>
    </row>
    <row r="80" spans="1:11" ht="13.5" thickBot="1" x14ac:dyDescent="0.25">
      <c r="B80" s="6">
        <v>45776</v>
      </c>
      <c r="C80" s="19" t="s">
        <v>24</v>
      </c>
      <c r="D80" s="6" t="s">
        <v>16</v>
      </c>
      <c r="E80" s="6" t="s">
        <v>13</v>
      </c>
      <c r="F80" s="5" t="s">
        <v>17</v>
      </c>
      <c r="G80" s="7">
        <v>7385</v>
      </c>
      <c r="H80" s="6">
        <v>45793</v>
      </c>
      <c r="I80" s="15">
        <v>808013</v>
      </c>
      <c r="J80" s="26">
        <v>0.4</v>
      </c>
      <c r="K80" s="18">
        <f>IF(I80="",0,+G80*J80)</f>
        <v>2954</v>
      </c>
    </row>
    <row r="81" spans="1:11" ht="13.5" thickBot="1" x14ac:dyDescent="0.25">
      <c r="G81" s="2">
        <f>SUM(G68:G80)</f>
        <v>162329.25</v>
      </c>
      <c r="K81" s="24">
        <f>SUM(K68:K80)</f>
        <v>75043.125</v>
      </c>
    </row>
    <row r="82" spans="1:11" x14ac:dyDescent="0.2">
      <c r="D82" s="16"/>
      <c r="E82" s="3"/>
      <c r="F82" s="3"/>
      <c r="J82" s="17"/>
    </row>
    <row r="83" spans="1:11" x14ac:dyDescent="0.2">
      <c r="D83" s="16"/>
      <c r="E83" s="3"/>
      <c r="F83" s="3"/>
      <c r="J83" s="17" t="s">
        <v>18</v>
      </c>
      <c r="K83" s="4">
        <f>K81+K61+K64</f>
        <v>103884.84</v>
      </c>
    </row>
    <row r="84" spans="1:11" x14ac:dyDescent="0.2">
      <c r="D84" s="16"/>
      <c r="E84" s="3"/>
      <c r="F84" s="3"/>
      <c r="J84" s="17"/>
    </row>
    <row r="85" spans="1:11" x14ac:dyDescent="0.2">
      <c r="A85" s="1" t="s">
        <v>93</v>
      </c>
      <c r="B85" s="6">
        <v>45780</v>
      </c>
      <c r="C85" s="19" t="s">
        <v>54</v>
      </c>
      <c r="D85" s="6" t="s">
        <v>55</v>
      </c>
      <c r="E85" s="6" t="s">
        <v>13</v>
      </c>
      <c r="F85" s="5" t="s">
        <v>56</v>
      </c>
      <c r="G85" s="7">
        <v>9120</v>
      </c>
      <c r="H85" s="6">
        <v>45796</v>
      </c>
      <c r="I85" s="15">
        <v>429817</v>
      </c>
      <c r="J85" s="26">
        <v>0.4</v>
      </c>
      <c r="K85" s="18">
        <f>IF(I85="",0,+G85*J85)</f>
        <v>3648</v>
      </c>
    </row>
    <row r="86" spans="1:11" x14ac:dyDescent="0.2">
      <c r="B86" s="6">
        <v>45785</v>
      </c>
      <c r="C86" s="19" t="s">
        <v>30</v>
      </c>
      <c r="D86" s="6" t="s">
        <v>16</v>
      </c>
      <c r="E86" s="6" t="s">
        <v>13</v>
      </c>
      <c r="F86" s="5" t="s">
        <v>17</v>
      </c>
      <c r="G86" s="7">
        <v>159.88</v>
      </c>
      <c r="H86" s="6">
        <v>45793</v>
      </c>
      <c r="I86" s="15" t="s">
        <v>94</v>
      </c>
      <c r="J86" s="26">
        <v>0.5</v>
      </c>
      <c r="K86" s="18">
        <f>IF(I86="",0,+G86*J86)</f>
        <v>79.94</v>
      </c>
    </row>
    <row r="87" spans="1:11" x14ac:dyDescent="0.2">
      <c r="B87" s="6">
        <v>45785</v>
      </c>
      <c r="C87" s="19" t="s">
        <v>30</v>
      </c>
      <c r="D87" s="6" t="s">
        <v>16</v>
      </c>
      <c r="E87" s="6" t="s">
        <v>13</v>
      </c>
      <c r="F87" s="5" t="s">
        <v>17</v>
      </c>
      <c r="G87" s="7">
        <v>29690.37</v>
      </c>
      <c r="H87" s="6">
        <v>45793</v>
      </c>
      <c r="I87" s="15" t="s">
        <v>95</v>
      </c>
      <c r="J87" s="26">
        <v>0.5</v>
      </c>
      <c r="K87" s="18">
        <f>IF(I87="",0,+G87*J87)</f>
        <v>14845.184999999999</v>
      </c>
    </row>
    <row r="88" spans="1:11" x14ac:dyDescent="0.2">
      <c r="B88" s="6">
        <v>45785</v>
      </c>
      <c r="C88" s="19" t="s">
        <v>30</v>
      </c>
      <c r="D88" s="6" t="s">
        <v>16</v>
      </c>
      <c r="E88" s="6" t="s">
        <v>13</v>
      </c>
      <c r="F88" s="5" t="s">
        <v>17</v>
      </c>
      <c r="G88" s="7">
        <v>21761.71</v>
      </c>
      <c r="H88" s="6">
        <v>45796</v>
      </c>
      <c r="I88" s="15" t="s">
        <v>96</v>
      </c>
      <c r="J88" s="26">
        <v>0.5</v>
      </c>
      <c r="K88" s="18">
        <f t="shared" ref="K88:K97" si="7">IF(I88="",0,+G88*J88)</f>
        <v>10880.855</v>
      </c>
    </row>
    <row r="89" spans="1:11" x14ac:dyDescent="0.2">
      <c r="B89" s="6">
        <v>45786</v>
      </c>
      <c r="C89" s="19" t="s">
        <v>76</v>
      </c>
      <c r="D89" s="6" t="s">
        <v>16</v>
      </c>
      <c r="E89" s="6" t="s">
        <v>13</v>
      </c>
      <c r="F89" s="5" t="s">
        <v>17</v>
      </c>
      <c r="G89" s="7">
        <v>6860</v>
      </c>
      <c r="H89" s="6">
        <v>45800</v>
      </c>
      <c r="I89" s="15">
        <v>808564</v>
      </c>
      <c r="J89" s="26">
        <v>0.4</v>
      </c>
      <c r="K89" s="18">
        <f t="shared" si="7"/>
        <v>2744</v>
      </c>
    </row>
    <row r="90" spans="1:11" x14ac:dyDescent="0.2">
      <c r="B90" s="6">
        <v>45789</v>
      </c>
      <c r="C90" s="19" t="s">
        <v>48</v>
      </c>
      <c r="D90" s="6" t="s">
        <v>16</v>
      </c>
      <c r="E90" s="6" t="s">
        <v>13</v>
      </c>
      <c r="F90" s="5" t="s">
        <v>17</v>
      </c>
      <c r="G90" s="7">
        <v>2555</v>
      </c>
      <c r="H90" s="6">
        <v>45814</v>
      </c>
      <c r="I90" s="15" t="s">
        <v>97</v>
      </c>
      <c r="J90" s="26">
        <v>0.4</v>
      </c>
      <c r="K90" s="18">
        <f t="shared" si="7"/>
        <v>1022</v>
      </c>
    </row>
    <row r="91" spans="1:11" x14ac:dyDescent="0.2">
      <c r="B91" s="6">
        <v>45792</v>
      </c>
      <c r="C91" s="19" t="s">
        <v>24</v>
      </c>
      <c r="D91" s="6" t="s">
        <v>16</v>
      </c>
      <c r="E91" s="6" t="s">
        <v>13</v>
      </c>
      <c r="F91" s="5" t="s">
        <v>17</v>
      </c>
      <c r="G91" s="7">
        <v>8385</v>
      </c>
      <c r="H91" s="6">
        <v>45819</v>
      </c>
      <c r="I91" s="15">
        <v>814821</v>
      </c>
      <c r="J91" s="26">
        <v>0.4</v>
      </c>
      <c r="K91" s="18">
        <f t="shared" si="7"/>
        <v>3354</v>
      </c>
    </row>
    <row r="92" spans="1:11" x14ac:dyDescent="0.2">
      <c r="B92" s="6">
        <v>45799</v>
      </c>
      <c r="C92" s="19" t="s">
        <v>30</v>
      </c>
      <c r="D92" s="6" t="s">
        <v>16</v>
      </c>
      <c r="E92" s="6" t="s">
        <v>13</v>
      </c>
      <c r="F92" s="5" t="s">
        <v>17</v>
      </c>
      <c r="G92" s="7">
        <v>31947.83</v>
      </c>
      <c r="H92" s="6">
        <v>45810</v>
      </c>
      <c r="I92" s="15" t="s">
        <v>98</v>
      </c>
      <c r="J92" s="26">
        <v>0.5</v>
      </c>
      <c r="K92" s="18">
        <f t="shared" si="7"/>
        <v>15973.915000000001</v>
      </c>
    </row>
    <row r="93" spans="1:11" x14ac:dyDescent="0.2">
      <c r="B93" s="6">
        <v>45800</v>
      </c>
      <c r="C93" s="19" t="s">
        <v>54</v>
      </c>
      <c r="D93" s="6" t="s">
        <v>55</v>
      </c>
      <c r="E93" s="6" t="s">
        <v>13</v>
      </c>
      <c r="F93" s="5" t="s">
        <v>56</v>
      </c>
      <c r="G93" s="7">
        <v>8895</v>
      </c>
      <c r="H93" s="6">
        <v>45810</v>
      </c>
      <c r="I93" s="15">
        <v>434023</v>
      </c>
      <c r="J93" s="26">
        <v>0.4</v>
      </c>
      <c r="K93" s="18">
        <f t="shared" si="7"/>
        <v>3558</v>
      </c>
    </row>
    <row r="94" spans="1:11" x14ac:dyDescent="0.2">
      <c r="B94" s="6">
        <v>45800</v>
      </c>
      <c r="C94" s="19" t="s">
        <v>30</v>
      </c>
      <c r="D94" s="6" t="s">
        <v>16</v>
      </c>
      <c r="E94" s="6" t="s">
        <v>13</v>
      </c>
      <c r="F94" s="5" t="s">
        <v>71</v>
      </c>
      <c r="G94" s="7">
        <v>44658.91</v>
      </c>
      <c r="H94" s="6">
        <v>45810</v>
      </c>
      <c r="I94" s="15" t="s">
        <v>99</v>
      </c>
      <c r="J94" s="26">
        <v>0.5</v>
      </c>
      <c r="K94" s="18">
        <f t="shared" si="7"/>
        <v>22329.455000000002</v>
      </c>
    </row>
    <row r="95" spans="1:11" x14ac:dyDescent="0.2">
      <c r="B95" s="6">
        <v>45801</v>
      </c>
      <c r="C95" s="19" t="s">
        <v>30</v>
      </c>
      <c r="D95" s="6" t="s">
        <v>16</v>
      </c>
      <c r="E95" s="6" t="s">
        <v>13</v>
      </c>
      <c r="F95" s="5" t="s">
        <v>71</v>
      </c>
      <c r="G95" s="7">
        <v>79527.06</v>
      </c>
      <c r="H95" s="6">
        <v>45810</v>
      </c>
      <c r="I95" s="15" t="s">
        <v>100</v>
      </c>
      <c r="J95" s="26">
        <v>0.5</v>
      </c>
      <c r="K95" s="18">
        <f t="shared" si="7"/>
        <v>39763.53</v>
      </c>
    </row>
    <row r="96" spans="1:11" x14ac:dyDescent="0.2">
      <c r="B96" s="6">
        <v>45804</v>
      </c>
      <c r="C96" s="19" t="s">
        <v>101</v>
      </c>
      <c r="D96" s="6" t="s">
        <v>16</v>
      </c>
      <c r="E96" s="6" t="s">
        <v>13</v>
      </c>
      <c r="F96" s="5" t="s">
        <v>17</v>
      </c>
      <c r="G96" s="7">
        <v>4060.8</v>
      </c>
      <c r="H96" s="6">
        <v>45814</v>
      </c>
      <c r="I96" s="15">
        <v>2123884</v>
      </c>
      <c r="J96" s="26">
        <v>0.4</v>
      </c>
      <c r="K96" s="18">
        <f t="shared" si="7"/>
        <v>1624.3200000000002</v>
      </c>
    </row>
    <row r="97" spans="1:12" x14ac:dyDescent="0.2">
      <c r="B97" s="6">
        <v>45804</v>
      </c>
      <c r="C97" s="19" t="s">
        <v>76</v>
      </c>
      <c r="D97" s="6" t="s">
        <v>16</v>
      </c>
      <c r="E97" s="6" t="s">
        <v>13</v>
      </c>
      <c r="F97" s="5" t="s">
        <v>29</v>
      </c>
      <c r="G97" s="7">
        <v>6985</v>
      </c>
      <c r="H97" s="6">
        <v>45817</v>
      </c>
      <c r="I97" s="15">
        <v>813038</v>
      </c>
      <c r="J97" s="26">
        <v>0.4</v>
      </c>
      <c r="K97" s="18">
        <f t="shared" si="7"/>
        <v>2794</v>
      </c>
    </row>
    <row r="98" spans="1:12" ht="13.5" thickBot="1" x14ac:dyDescent="0.25">
      <c r="B98" s="6">
        <v>45804</v>
      </c>
      <c r="C98" s="19" t="s">
        <v>19</v>
      </c>
      <c r="D98" s="6" t="s">
        <v>16</v>
      </c>
      <c r="E98" s="6" t="s">
        <v>13</v>
      </c>
      <c r="F98" s="5" t="s">
        <v>17</v>
      </c>
      <c r="G98" s="7">
        <v>8656</v>
      </c>
      <c r="H98" s="6">
        <v>45814</v>
      </c>
      <c r="I98" s="15" t="s">
        <v>102</v>
      </c>
      <c r="J98" s="26">
        <v>0.4</v>
      </c>
      <c r="K98" s="18">
        <f>IF(I98="",0,+G98*J98)</f>
        <v>3462.4</v>
      </c>
    </row>
    <row r="99" spans="1:12" ht="13.5" thickBot="1" x14ac:dyDescent="0.25">
      <c r="G99" s="2">
        <f>SUM(G85:G98)</f>
        <v>263262.56</v>
      </c>
      <c r="K99" s="24">
        <f>SUM(K85:K98)</f>
        <v>126079.6</v>
      </c>
    </row>
    <row r="100" spans="1:12" x14ac:dyDescent="0.2">
      <c r="D100" s="16"/>
      <c r="E100" s="3"/>
      <c r="F100" s="3"/>
      <c r="J100" s="30"/>
    </row>
    <row r="101" spans="1:12" x14ac:dyDescent="0.2">
      <c r="A101" s="1" t="s">
        <v>103</v>
      </c>
      <c r="B101" s="6">
        <v>45810</v>
      </c>
      <c r="C101" s="19" t="s">
        <v>76</v>
      </c>
      <c r="D101" s="6" t="s">
        <v>16</v>
      </c>
      <c r="E101" s="6" t="s">
        <v>13</v>
      </c>
      <c r="F101" s="5" t="s">
        <v>29</v>
      </c>
      <c r="G101" s="7">
        <v>2050</v>
      </c>
      <c r="H101" s="6">
        <v>45817</v>
      </c>
      <c r="I101" s="15">
        <v>813284</v>
      </c>
      <c r="J101" s="26">
        <v>0.4</v>
      </c>
      <c r="K101" s="18">
        <f>IF(I101="",0,+G101*J101)</f>
        <v>820</v>
      </c>
    </row>
    <row r="102" spans="1:12" x14ac:dyDescent="0.2">
      <c r="B102" s="6">
        <v>45811</v>
      </c>
      <c r="C102" s="19" t="s">
        <v>104</v>
      </c>
      <c r="D102" s="6" t="s">
        <v>16</v>
      </c>
      <c r="E102" s="6" t="s">
        <v>13</v>
      </c>
      <c r="F102" s="5" t="s">
        <v>29</v>
      </c>
      <c r="G102" s="7">
        <v>1475.8</v>
      </c>
      <c r="H102" s="6">
        <v>45833</v>
      </c>
      <c r="I102" s="15">
        <v>2149782</v>
      </c>
      <c r="J102" s="26">
        <v>0.4</v>
      </c>
      <c r="K102" s="18">
        <f>IF(I102="",0,+G102*J102)</f>
        <v>590.32000000000005</v>
      </c>
    </row>
    <row r="103" spans="1:12" x14ac:dyDescent="0.2">
      <c r="B103" s="6">
        <v>45812</v>
      </c>
      <c r="C103" s="19" t="s">
        <v>105</v>
      </c>
      <c r="D103" s="6" t="s">
        <v>106</v>
      </c>
      <c r="E103" s="6" t="s">
        <v>13</v>
      </c>
      <c r="F103" s="5" t="s">
        <v>107</v>
      </c>
      <c r="G103" s="7">
        <v>4650</v>
      </c>
      <c r="H103" s="6">
        <v>45821</v>
      </c>
      <c r="I103" s="15" t="s">
        <v>108</v>
      </c>
      <c r="J103" s="26">
        <v>0.4</v>
      </c>
      <c r="K103" s="18">
        <f>+G103*J103</f>
        <v>1860</v>
      </c>
      <c r="L103" s="27" t="s">
        <v>127</v>
      </c>
    </row>
    <row r="104" spans="1:12" x14ac:dyDescent="0.2">
      <c r="B104" s="6">
        <v>45812</v>
      </c>
      <c r="C104" s="19" t="s">
        <v>105</v>
      </c>
      <c r="D104" s="6" t="s">
        <v>106</v>
      </c>
      <c r="E104" s="6" t="s">
        <v>13</v>
      </c>
      <c r="F104" s="5" t="s">
        <v>107</v>
      </c>
      <c r="G104" s="7">
        <v>3175</v>
      </c>
      <c r="H104" s="6">
        <v>45821</v>
      </c>
      <c r="I104" s="15" t="s">
        <v>109</v>
      </c>
      <c r="J104" s="26">
        <v>0.4</v>
      </c>
      <c r="K104" s="18">
        <f>+G104*J104</f>
        <v>1270</v>
      </c>
      <c r="L104" s="27" t="s">
        <v>128</v>
      </c>
    </row>
    <row r="105" spans="1:12" x14ac:dyDescent="0.2">
      <c r="B105" s="6">
        <v>45818</v>
      </c>
      <c r="C105" s="19" t="s">
        <v>105</v>
      </c>
      <c r="D105" s="6" t="s">
        <v>106</v>
      </c>
      <c r="E105" s="6" t="s">
        <v>13</v>
      </c>
      <c r="F105" s="5" t="s">
        <v>107</v>
      </c>
      <c r="G105" s="7">
        <v>4650</v>
      </c>
      <c r="H105" s="6">
        <v>45877</v>
      </c>
      <c r="I105" s="15" t="s">
        <v>154</v>
      </c>
      <c r="J105" s="26">
        <v>0.4</v>
      </c>
      <c r="K105" s="18">
        <f t="shared" ref="K105:K121" si="8">IF(I105="",0,+G105*J105)</f>
        <v>1860</v>
      </c>
      <c r="L105" s="27" t="s">
        <v>127</v>
      </c>
    </row>
    <row r="106" spans="1:12" x14ac:dyDescent="0.2">
      <c r="B106" s="6">
        <v>45818</v>
      </c>
      <c r="C106" s="19" t="s">
        <v>30</v>
      </c>
      <c r="D106" s="6" t="s">
        <v>16</v>
      </c>
      <c r="E106" s="6" t="s">
        <v>13</v>
      </c>
      <c r="F106" s="5" t="s">
        <v>71</v>
      </c>
      <c r="G106" s="7">
        <v>10852.99</v>
      </c>
      <c r="H106" s="6">
        <v>45821</v>
      </c>
      <c r="I106" s="15" t="s">
        <v>110</v>
      </c>
      <c r="J106" s="26">
        <v>0.5</v>
      </c>
      <c r="K106" s="18">
        <f t="shared" si="8"/>
        <v>5426.4949999999999</v>
      </c>
      <c r="L106" s="27"/>
    </row>
    <row r="107" spans="1:12" x14ac:dyDescent="0.2">
      <c r="B107" s="6">
        <v>45819</v>
      </c>
      <c r="C107" s="19" t="s">
        <v>105</v>
      </c>
      <c r="D107" s="6" t="s">
        <v>106</v>
      </c>
      <c r="E107" s="6" t="s">
        <v>13</v>
      </c>
      <c r="F107" s="5" t="s">
        <v>107</v>
      </c>
      <c r="G107" s="7">
        <v>4650</v>
      </c>
      <c r="H107" s="6">
        <v>45877</v>
      </c>
      <c r="I107" s="15" t="s">
        <v>132</v>
      </c>
      <c r="J107" s="26">
        <v>0.4</v>
      </c>
      <c r="K107" s="18">
        <f>+G107*J107</f>
        <v>1860</v>
      </c>
      <c r="L107" s="27" t="s">
        <v>127</v>
      </c>
    </row>
    <row r="108" spans="1:12" x14ac:dyDescent="0.2">
      <c r="B108" s="6">
        <v>45820</v>
      </c>
      <c r="C108" s="19" t="s">
        <v>19</v>
      </c>
      <c r="D108" s="6" t="s">
        <v>20</v>
      </c>
      <c r="E108" s="6" t="s">
        <v>13</v>
      </c>
      <c r="F108" s="5" t="s">
        <v>21</v>
      </c>
      <c r="G108" s="7">
        <v>1850</v>
      </c>
      <c r="H108" s="6">
        <v>45835</v>
      </c>
      <c r="I108" s="15" t="s">
        <v>111</v>
      </c>
      <c r="J108" s="26">
        <v>0.4</v>
      </c>
      <c r="K108" s="18">
        <f t="shared" si="8"/>
        <v>740</v>
      </c>
    </row>
    <row r="109" spans="1:12" x14ac:dyDescent="0.2">
      <c r="B109" s="6">
        <v>45820</v>
      </c>
      <c r="C109" s="19" t="s">
        <v>30</v>
      </c>
      <c r="D109" s="6" t="s">
        <v>16</v>
      </c>
      <c r="E109" s="6" t="s">
        <v>13</v>
      </c>
      <c r="F109" s="5" t="s">
        <v>71</v>
      </c>
      <c r="G109" s="31">
        <v>118085.55</v>
      </c>
      <c r="H109" s="6">
        <v>45835</v>
      </c>
      <c r="I109" s="15" t="s">
        <v>112</v>
      </c>
      <c r="J109" s="26">
        <v>0.5</v>
      </c>
      <c r="K109" s="18">
        <f t="shared" si="8"/>
        <v>59042.775000000001</v>
      </c>
      <c r="L109" s="27" t="s">
        <v>130</v>
      </c>
    </row>
    <row r="110" spans="1:12" x14ac:dyDescent="0.2">
      <c r="B110" s="6">
        <v>45820</v>
      </c>
      <c r="C110" s="19" t="s">
        <v>30</v>
      </c>
      <c r="D110" s="6" t="s">
        <v>16</v>
      </c>
      <c r="E110" s="6" t="s">
        <v>13</v>
      </c>
      <c r="F110" s="5" t="s">
        <v>71</v>
      </c>
      <c r="G110" s="7">
        <v>51063.87</v>
      </c>
      <c r="H110" s="6">
        <v>45852</v>
      </c>
      <c r="I110" s="15" t="s">
        <v>113</v>
      </c>
      <c r="J110" s="26">
        <v>0.5</v>
      </c>
      <c r="K110" s="18">
        <f t="shared" si="8"/>
        <v>25531.935000000001</v>
      </c>
    </row>
    <row r="111" spans="1:12" x14ac:dyDescent="0.2">
      <c r="B111" s="6">
        <v>45822</v>
      </c>
      <c r="C111" s="19" t="s">
        <v>105</v>
      </c>
      <c r="D111" s="6" t="s">
        <v>106</v>
      </c>
      <c r="E111" s="6" t="s">
        <v>13</v>
      </c>
      <c r="F111" s="5" t="s">
        <v>107</v>
      </c>
      <c r="G111" s="7">
        <v>3175</v>
      </c>
      <c r="H111" s="6">
        <v>45877</v>
      </c>
      <c r="I111" s="15" t="s">
        <v>155</v>
      </c>
      <c r="J111" s="26">
        <v>0.4</v>
      </c>
      <c r="K111" s="18">
        <f t="shared" si="8"/>
        <v>1270</v>
      </c>
      <c r="L111" s="27" t="s">
        <v>128</v>
      </c>
    </row>
    <row r="112" spans="1:12" x14ac:dyDescent="0.2">
      <c r="B112" s="6">
        <v>45824</v>
      </c>
      <c r="C112" s="19" t="s">
        <v>105</v>
      </c>
      <c r="D112" s="6" t="s">
        <v>106</v>
      </c>
      <c r="E112" s="6" t="s">
        <v>13</v>
      </c>
      <c r="F112" s="5" t="s">
        <v>107</v>
      </c>
      <c r="G112" s="7">
        <v>2275</v>
      </c>
      <c r="H112" s="6">
        <v>45877</v>
      </c>
      <c r="I112" s="15" t="s">
        <v>156</v>
      </c>
      <c r="J112" s="26">
        <v>0.4</v>
      </c>
      <c r="K112" s="18">
        <f t="shared" si="8"/>
        <v>910</v>
      </c>
      <c r="L112" s="27" t="s">
        <v>128</v>
      </c>
    </row>
    <row r="113" spans="2:12" x14ac:dyDescent="0.2">
      <c r="B113" s="6">
        <v>45824</v>
      </c>
      <c r="C113" s="19" t="s">
        <v>54</v>
      </c>
      <c r="D113" s="6" t="s">
        <v>114</v>
      </c>
      <c r="E113" s="6" t="s">
        <v>13</v>
      </c>
      <c r="F113" s="5" t="s">
        <v>56</v>
      </c>
      <c r="G113" s="7">
        <v>4597.5</v>
      </c>
      <c r="H113" s="6">
        <v>45835</v>
      </c>
      <c r="I113" s="15">
        <v>437991</v>
      </c>
      <c r="J113" s="26">
        <v>0.4</v>
      </c>
      <c r="K113" s="18">
        <f t="shared" si="8"/>
        <v>1839</v>
      </c>
      <c r="L113" s="27" t="s">
        <v>162</v>
      </c>
    </row>
    <row r="114" spans="2:12" x14ac:dyDescent="0.2">
      <c r="B114" s="6">
        <v>45825</v>
      </c>
      <c r="C114" s="19" t="s">
        <v>105</v>
      </c>
      <c r="D114" s="6" t="s">
        <v>106</v>
      </c>
      <c r="E114" s="6" t="s">
        <v>13</v>
      </c>
      <c r="F114" s="5" t="s">
        <v>107</v>
      </c>
      <c r="G114" s="7">
        <v>4650</v>
      </c>
      <c r="H114" s="6">
        <v>45877</v>
      </c>
      <c r="I114" s="15" t="s">
        <v>157</v>
      </c>
      <c r="J114" s="26">
        <v>0.4</v>
      </c>
      <c r="K114" s="18">
        <f t="shared" si="8"/>
        <v>1860</v>
      </c>
      <c r="L114" s="27" t="s">
        <v>127</v>
      </c>
    </row>
    <row r="115" spans="2:12" x14ac:dyDescent="0.2">
      <c r="B115" s="6">
        <v>45826</v>
      </c>
      <c r="C115" s="19" t="s">
        <v>105</v>
      </c>
      <c r="D115" s="6" t="s">
        <v>106</v>
      </c>
      <c r="E115" s="6" t="s">
        <v>13</v>
      </c>
      <c r="F115" s="5" t="s">
        <v>107</v>
      </c>
      <c r="G115" s="7">
        <v>4650</v>
      </c>
      <c r="H115" s="6">
        <v>45877</v>
      </c>
      <c r="I115" s="15" t="s">
        <v>158</v>
      </c>
      <c r="J115" s="26">
        <v>0.4</v>
      </c>
      <c r="K115" s="18">
        <f t="shared" si="8"/>
        <v>1860</v>
      </c>
      <c r="L115" s="27" t="s">
        <v>127</v>
      </c>
    </row>
    <row r="116" spans="2:12" x14ac:dyDescent="0.2">
      <c r="B116" s="6">
        <v>45827</v>
      </c>
      <c r="C116" s="19" t="s">
        <v>48</v>
      </c>
      <c r="D116" s="6" t="s">
        <v>16</v>
      </c>
      <c r="E116" s="6" t="s">
        <v>13</v>
      </c>
      <c r="F116" s="5" t="s">
        <v>17</v>
      </c>
      <c r="G116" s="7">
        <v>6165</v>
      </c>
      <c r="H116" s="6">
        <v>45835</v>
      </c>
      <c r="I116" s="15" t="s">
        <v>115</v>
      </c>
      <c r="J116" s="26">
        <v>0.4</v>
      </c>
      <c r="K116" s="18">
        <f t="shared" si="8"/>
        <v>2466</v>
      </c>
      <c r="L116" s="27"/>
    </row>
    <row r="117" spans="2:12" x14ac:dyDescent="0.2">
      <c r="B117" s="6">
        <v>45827</v>
      </c>
      <c r="C117" s="19" t="s">
        <v>30</v>
      </c>
      <c r="D117" s="6" t="s">
        <v>16</v>
      </c>
      <c r="E117" s="6" t="s">
        <v>13</v>
      </c>
      <c r="F117" s="5" t="s">
        <v>71</v>
      </c>
      <c r="G117" s="7">
        <v>5486.79</v>
      </c>
      <c r="H117" s="6">
        <v>45835</v>
      </c>
      <c r="I117" s="15" t="s">
        <v>116</v>
      </c>
      <c r="J117" s="26">
        <v>0.5</v>
      </c>
      <c r="K117" s="18">
        <f t="shared" si="8"/>
        <v>2743.395</v>
      </c>
      <c r="L117" s="27"/>
    </row>
    <row r="118" spans="2:12" x14ac:dyDescent="0.2">
      <c r="B118" s="6">
        <v>45831</v>
      </c>
      <c r="C118" s="19" t="s">
        <v>76</v>
      </c>
      <c r="D118" s="6" t="s">
        <v>16</v>
      </c>
      <c r="E118" s="6" t="s">
        <v>13</v>
      </c>
      <c r="F118" s="5" t="s">
        <v>29</v>
      </c>
      <c r="G118" s="7">
        <v>8635</v>
      </c>
      <c r="H118" s="6">
        <v>45852</v>
      </c>
      <c r="I118" s="15">
        <v>823248</v>
      </c>
      <c r="J118" s="26">
        <v>0.4</v>
      </c>
      <c r="K118" s="18">
        <f t="shared" si="8"/>
        <v>3454</v>
      </c>
      <c r="L118" s="27"/>
    </row>
    <row r="119" spans="2:12" x14ac:dyDescent="0.2">
      <c r="B119" s="6">
        <v>45832</v>
      </c>
      <c r="C119" s="19" t="s">
        <v>105</v>
      </c>
      <c r="D119" s="6" t="s">
        <v>106</v>
      </c>
      <c r="E119" s="6" t="s">
        <v>13</v>
      </c>
      <c r="F119" s="5" t="s">
        <v>107</v>
      </c>
      <c r="G119" s="7">
        <v>2550</v>
      </c>
      <c r="H119" s="6">
        <v>45877</v>
      </c>
      <c r="I119" s="15" t="s">
        <v>159</v>
      </c>
      <c r="J119" s="26">
        <v>0.4</v>
      </c>
      <c r="K119" s="18">
        <f t="shared" si="8"/>
        <v>1020</v>
      </c>
      <c r="L119" s="27" t="s">
        <v>127</v>
      </c>
    </row>
    <row r="120" spans="2:12" x14ac:dyDescent="0.2">
      <c r="B120" s="6">
        <v>45832</v>
      </c>
      <c r="C120" s="19" t="s">
        <v>105</v>
      </c>
      <c r="D120" s="6" t="s">
        <v>106</v>
      </c>
      <c r="E120" s="6" t="s">
        <v>13</v>
      </c>
      <c r="F120" s="5" t="s">
        <v>107</v>
      </c>
      <c r="G120" s="7">
        <v>2725</v>
      </c>
      <c r="H120" s="6">
        <v>45877</v>
      </c>
      <c r="I120" s="15" t="s">
        <v>160</v>
      </c>
      <c r="J120" s="26">
        <v>0.4</v>
      </c>
      <c r="K120" s="18">
        <f t="shared" si="8"/>
        <v>1090</v>
      </c>
      <c r="L120" s="27"/>
    </row>
    <row r="121" spans="2:12" x14ac:dyDescent="0.2">
      <c r="B121" s="6">
        <v>45832</v>
      </c>
      <c r="C121" s="19" t="s">
        <v>48</v>
      </c>
      <c r="D121" s="6" t="s">
        <v>16</v>
      </c>
      <c r="E121" s="6" t="s">
        <v>13</v>
      </c>
      <c r="F121" s="5" t="s">
        <v>17</v>
      </c>
      <c r="G121" s="7">
        <v>6230</v>
      </c>
      <c r="H121" s="6">
        <v>45847</v>
      </c>
      <c r="I121" s="15" t="s">
        <v>117</v>
      </c>
      <c r="J121" s="26">
        <v>0.4</v>
      </c>
      <c r="K121" s="18">
        <f t="shared" si="8"/>
        <v>2492</v>
      </c>
      <c r="L121" s="27"/>
    </row>
    <row r="122" spans="2:12" x14ac:dyDescent="0.2">
      <c r="B122" s="6">
        <v>45833</v>
      </c>
      <c r="C122" s="19" t="s">
        <v>105</v>
      </c>
      <c r="D122" s="6" t="s">
        <v>106</v>
      </c>
      <c r="E122" s="6" t="s">
        <v>13</v>
      </c>
      <c r="F122" s="5" t="s">
        <v>107</v>
      </c>
      <c r="G122" s="7">
        <v>2725</v>
      </c>
      <c r="H122" s="6">
        <v>45849</v>
      </c>
      <c r="I122" s="15" t="s">
        <v>118</v>
      </c>
      <c r="J122" s="26">
        <v>0.4</v>
      </c>
      <c r="K122" s="18">
        <f>+G122*J122</f>
        <v>1090</v>
      </c>
      <c r="L122" s="27" t="s">
        <v>128</v>
      </c>
    </row>
    <row r="123" spans="2:12" x14ac:dyDescent="0.2">
      <c r="B123" s="6">
        <v>45834</v>
      </c>
      <c r="C123" s="19" t="s">
        <v>30</v>
      </c>
      <c r="D123" s="6" t="s">
        <v>16</v>
      </c>
      <c r="E123" s="6" t="s">
        <v>13</v>
      </c>
      <c r="F123" s="5" t="s">
        <v>17</v>
      </c>
      <c r="G123" s="7">
        <v>39315.14</v>
      </c>
      <c r="H123" s="6">
        <v>45849</v>
      </c>
      <c r="I123" s="15" t="s">
        <v>119</v>
      </c>
      <c r="J123" s="26">
        <v>0.5</v>
      </c>
      <c r="K123" s="18">
        <f>IF(I123="",0,+G123*J123)</f>
        <v>19657.57</v>
      </c>
      <c r="L123" s="27"/>
    </row>
    <row r="124" spans="2:12" x14ac:dyDescent="0.2">
      <c r="B124" s="6">
        <v>45834</v>
      </c>
      <c r="C124" s="19" t="s">
        <v>30</v>
      </c>
      <c r="D124" s="6"/>
      <c r="E124" s="6" t="s">
        <v>120</v>
      </c>
      <c r="F124" s="5" t="s">
        <v>120</v>
      </c>
      <c r="G124" s="7">
        <v>3288.79</v>
      </c>
      <c r="H124" s="6">
        <v>45852</v>
      </c>
      <c r="I124" s="15" t="s">
        <v>121</v>
      </c>
      <c r="J124" s="26">
        <v>0.5</v>
      </c>
      <c r="K124" s="18">
        <f t="shared" ref="K124:K130" si="9">IF(I124="",0,+G124*J124)</f>
        <v>1644.395</v>
      </c>
      <c r="L124" s="27"/>
    </row>
    <row r="125" spans="2:12" x14ac:dyDescent="0.2">
      <c r="B125" s="6">
        <v>45835</v>
      </c>
      <c r="C125" s="19" t="s">
        <v>105</v>
      </c>
      <c r="D125" s="6" t="s">
        <v>106</v>
      </c>
      <c r="E125" s="6" t="s">
        <v>13</v>
      </c>
      <c r="F125" s="5" t="s">
        <v>107</v>
      </c>
      <c r="G125" s="7">
        <v>2275</v>
      </c>
      <c r="H125" s="6">
        <v>45849</v>
      </c>
      <c r="I125" s="15" t="s">
        <v>122</v>
      </c>
      <c r="J125" s="26">
        <v>0.4</v>
      </c>
      <c r="K125" s="18">
        <f>+G125*J125</f>
        <v>910</v>
      </c>
      <c r="L125" s="27" t="s">
        <v>128</v>
      </c>
    </row>
    <row r="126" spans="2:12" x14ac:dyDescent="0.2">
      <c r="B126" s="6">
        <v>45835</v>
      </c>
      <c r="C126" s="19" t="s">
        <v>30</v>
      </c>
      <c r="D126" s="6" t="s">
        <v>16</v>
      </c>
      <c r="E126" s="6" t="s">
        <v>13</v>
      </c>
      <c r="F126" s="5" t="s">
        <v>17</v>
      </c>
      <c r="G126" s="7">
        <v>81570.960000000006</v>
      </c>
      <c r="H126" s="6">
        <v>45849</v>
      </c>
      <c r="I126" s="15" t="s">
        <v>123</v>
      </c>
      <c r="J126" s="26">
        <v>0.5</v>
      </c>
      <c r="K126" s="18">
        <f t="shared" si="9"/>
        <v>40785.480000000003</v>
      </c>
      <c r="L126" s="27"/>
    </row>
    <row r="127" spans="2:12" x14ac:dyDescent="0.2">
      <c r="B127" s="6">
        <v>45837</v>
      </c>
      <c r="C127" s="19" t="s">
        <v>30</v>
      </c>
      <c r="D127" s="6" t="s">
        <v>16</v>
      </c>
      <c r="E127" s="6" t="s">
        <v>13</v>
      </c>
      <c r="F127" s="5" t="s">
        <v>17</v>
      </c>
      <c r="G127" s="7">
        <v>13970.06</v>
      </c>
      <c r="H127" s="6">
        <v>45849</v>
      </c>
      <c r="I127" s="15" t="s">
        <v>124</v>
      </c>
      <c r="J127" s="26">
        <v>0.5</v>
      </c>
      <c r="K127" s="18">
        <f t="shared" si="9"/>
        <v>6985.03</v>
      </c>
    </row>
    <row r="128" spans="2:12" x14ac:dyDescent="0.2">
      <c r="B128" s="6">
        <v>45837</v>
      </c>
      <c r="C128" s="19" t="s">
        <v>30</v>
      </c>
      <c r="D128" s="6" t="s">
        <v>16</v>
      </c>
      <c r="E128" s="6" t="s">
        <v>13</v>
      </c>
      <c r="F128" s="5" t="s">
        <v>17</v>
      </c>
      <c r="G128" s="7">
        <v>26947.919999999998</v>
      </c>
      <c r="H128" s="6">
        <v>45849</v>
      </c>
      <c r="I128" s="15" t="s">
        <v>125</v>
      </c>
      <c r="J128" s="26">
        <v>0.5</v>
      </c>
      <c r="K128" s="18">
        <f t="shared" si="9"/>
        <v>13473.96</v>
      </c>
    </row>
    <row r="129" spans="1:12" x14ac:dyDescent="0.2">
      <c r="B129" s="6">
        <v>45837</v>
      </c>
      <c r="C129" s="19" t="s">
        <v>30</v>
      </c>
      <c r="D129" s="6" t="s">
        <v>16</v>
      </c>
      <c r="E129" s="6" t="s">
        <v>13</v>
      </c>
      <c r="F129" s="5" t="s">
        <v>17</v>
      </c>
      <c r="G129" s="7">
        <v>28983.34</v>
      </c>
      <c r="H129" s="6">
        <v>45849</v>
      </c>
      <c r="I129" s="15" t="s">
        <v>126</v>
      </c>
      <c r="J129" s="26">
        <v>0.5</v>
      </c>
      <c r="K129" s="18">
        <f t="shared" si="9"/>
        <v>14491.67</v>
      </c>
    </row>
    <row r="130" spans="1:12" ht="13.5" thickBot="1" x14ac:dyDescent="0.25">
      <c r="B130" s="6">
        <v>45838</v>
      </c>
      <c r="C130" s="19" t="s">
        <v>24</v>
      </c>
      <c r="D130" s="6" t="s">
        <v>16</v>
      </c>
      <c r="E130" s="6" t="s">
        <v>13</v>
      </c>
      <c r="F130" s="5" t="s">
        <v>29</v>
      </c>
      <c r="G130" s="7">
        <v>16160</v>
      </c>
      <c r="H130" s="6">
        <v>45877</v>
      </c>
      <c r="I130" s="15">
        <v>832565</v>
      </c>
      <c r="J130" s="26">
        <v>0.4</v>
      </c>
      <c r="K130" s="18">
        <f t="shared" si="9"/>
        <v>6464</v>
      </c>
    </row>
    <row r="131" spans="1:12" ht="13.5" thickBot="1" x14ac:dyDescent="0.25">
      <c r="G131" s="2">
        <f>SUM(G101:G130)</f>
        <v>468878.71</v>
      </c>
      <c r="K131" s="24">
        <f>K101+K102+K106+K108+K109+K110+K116+K117+K118+K121+K123+K124+K126+K127+K128+K129</f>
        <v>200345.02499999999</v>
      </c>
    </row>
    <row r="132" spans="1:12" x14ac:dyDescent="0.2">
      <c r="D132" s="16"/>
      <c r="E132" s="3"/>
      <c r="F132" s="3"/>
      <c r="J132" s="17"/>
    </row>
    <row r="133" spans="1:12" x14ac:dyDescent="0.2">
      <c r="J133" s="29" t="s">
        <v>129</v>
      </c>
      <c r="K133" s="4">
        <f>+K125+K122+K107+K104+K103</f>
        <v>6990</v>
      </c>
    </row>
    <row r="135" spans="1:12" x14ac:dyDescent="0.2">
      <c r="A135" s="1" t="s">
        <v>131</v>
      </c>
      <c r="B135" s="6">
        <v>45820</v>
      </c>
      <c r="C135" s="19" t="s">
        <v>30</v>
      </c>
      <c r="D135" s="6" t="s">
        <v>16</v>
      </c>
      <c r="E135" s="6" t="s">
        <v>13</v>
      </c>
      <c r="F135" s="5" t="s">
        <v>71</v>
      </c>
      <c r="G135" s="31">
        <f>98467.1-G109</f>
        <v>-19618.449999999997</v>
      </c>
      <c r="H135" s="6">
        <v>45835</v>
      </c>
      <c r="I135" s="15" t="s">
        <v>112</v>
      </c>
      <c r="J135" s="26">
        <v>0.5</v>
      </c>
      <c r="K135" s="32">
        <f t="shared" ref="K135" si="10">IF(I135="",0,+G135*J135)</f>
        <v>-9809.2249999999985</v>
      </c>
      <c r="L135" s="27" t="s">
        <v>130</v>
      </c>
    </row>
    <row r="136" spans="1:12" x14ac:dyDescent="0.2">
      <c r="B136" s="6">
        <v>45839</v>
      </c>
      <c r="C136" s="19" t="s">
        <v>30</v>
      </c>
      <c r="D136" s="6" t="s">
        <v>16</v>
      </c>
      <c r="E136" s="6" t="s">
        <v>13</v>
      </c>
      <c r="F136" s="5" t="s">
        <v>17</v>
      </c>
      <c r="G136" s="7">
        <v>79983.839999999997</v>
      </c>
      <c r="H136" s="6">
        <v>45849</v>
      </c>
      <c r="I136" s="15" t="s">
        <v>133</v>
      </c>
      <c r="J136" s="26">
        <v>0.5</v>
      </c>
      <c r="K136" s="18">
        <f>IF(I136="",0,+G136*J136)</f>
        <v>39991.919999999998</v>
      </c>
    </row>
    <row r="137" spans="1:12" x14ac:dyDescent="0.2">
      <c r="B137" s="6">
        <v>45839</v>
      </c>
      <c r="C137" s="19" t="s">
        <v>105</v>
      </c>
      <c r="D137" s="6" t="s">
        <v>106</v>
      </c>
      <c r="E137" s="6" t="s">
        <v>13</v>
      </c>
      <c r="F137" s="5" t="s">
        <v>107</v>
      </c>
      <c r="G137" s="7">
        <v>2275</v>
      </c>
      <c r="H137" s="6">
        <v>45852</v>
      </c>
      <c r="I137" s="15" t="s">
        <v>134</v>
      </c>
      <c r="J137" s="26">
        <v>0.4</v>
      </c>
      <c r="K137" s="18">
        <f>IF(I137="",0,+G137*J137)</f>
        <v>910</v>
      </c>
    </row>
    <row r="138" spans="1:12" x14ac:dyDescent="0.2">
      <c r="B138" s="6">
        <v>45840</v>
      </c>
      <c r="C138" s="19" t="s">
        <v>105</v>
      </c>
      <c r="D138" s="6" t="s">
        <v>106</v>
      </c>
      <c r="E138" s="6" t="s">
        <v>13</v>
      </c>
      <c r="F138" s="5" t="s">
        <v>107</v>
      </c>
      <c r="G138" s="7">
        <v>3175</v>
      </c>
      <c r="H138" s="6">
        <v>45852</v>
      </c>
      <c r="I138" s="15" t="s">
        <v>135</v>
      </c>
      <c r="J138" s="26">
        <v>0.4</v>
      </c>
      <c r="K138" s="18">
        <f t="shared" ref="K138:K159" si="11">IF(I138="",0,+G138*J138)</f>
        <v>1270</v>
      </c>
    </row>
    <row r="139" spans="1:12" x14ac:dyDescent="0.2">
      <c r="B139" s="6">
        <v>45841</v>
      </c>
      <c r="C139" s="19" t="s">
        <v>76</v>
      </c>
      <c r="D139" s="6" t="s">
        <v>16</v>
      </c>
      <c r="E139" s="6" t="s">
        <v>13</v>
      </c>
      <c r="F139" s="5" t="s">
        <v>17</v>
      </c>
      <c r="G139" s="7">
        <v>4025</v>
      </c>
      <c r="H139" s="6">
        <v>45863</v>
      </c>
      <c r="I139" s="15">
        <v>828241</v>
      </c>
      <c r="J139" s="26">
        <v>0.4</v>
      </c>
      <c r="K139" s="18">
        <f t="shared" si="11"/>
        <v>1610</v>
      </c>
    </row>
    <row r="140" spans="1:12" x14ac:dyDescent="0.2">
      <c r="B140" s="6">
        <v>45841</v>
      </c>
      <c r="C140" s="19" t="s">
        <v>76</v>
      </c>
      <c r="D140" s="6" t="s">
        <v>16</v>
      </c>
      <c r="E140" s="6" t="s">
        <v>13</v>
      </c>
      <c r="F140" s="5" t="s">
        <v>17</v>
      </c>
      <c r="G140" s="7">
        <v>4385</v>
      </c>
      <c r="H140" s="6">
        <v>45863</v>
      </c>
      <c r="I140" s="15">
        <v>827392</v>
      </c>
      <c r="J140" s="26">
        <v>0.4</v>
      </c>
      <c r="K140" s="18">
        <f t="shared" si="11"/>
        <v>1754</v>
      </c>
    </row>
    <row r="141" spans="1:12" x14ac:dyDescent="0.2">
      <c r="B141" s="6">
        <v>45841</v>
      </c>
      <c r="C141" s="19" t="s">
        <v>76</v>
      </c>
      <c r="D141" s="6" t="s">
        <v>16</v>
      </c>
      <c r="E141" s="6" t="s">
        <v>13</v>
      </c>
      <c r="F141" s="5" t="s">
        <v>17</v>
      </c>
      <c r="G141" s="7">
        <v>6222.5</v>
      </c>
      <c r="H141" s="6">
        <v>45863</v>
      </c>
      <c r="I141" s="15">
        <v>828242</v>
      </c>
      <c r="J141" s="26">
        <v>0.4</v>
      </c>
      <c r="K141" s="18">
        <f t="shared" si="11"/>
        <v>2489</v>
      </c>
    </row>
    <row r="142" spans="1:12" x14ac:dyDescent="0.2">
      <c r="B142" s="6">
        <v>45843</v>
      </c>
      <c r="C142" s="19" t="s">
        <v>76</v>
      </c>
      <c r="D142" s="6" t="s">
        <v>16</v>
      </c>
      <c r="E142" s="6" t="s">
        <v>13</v>
      </c>
      <c r="F142" s="5" t="s">
        <v>17</v>
      </c>
      <c r="G142" s="7">
        <v>4385</v>
      </c>
      <c r="H142" s="6">
        <v>45863</v>
      </c>
      <c r="I142" s="15">
        <v>827393</v>
      </c>
      <c r="J142" s="26">
        <v>0.4</v>
      </c>
      <c r="K142" s="18">
        <f t="shared" si="11"/>
        <v>1754</v>
      </c>
    </row>
    <row r="143" spans="1:12" x14ac:dyDescent="0.2">
      <c r="B143" s="6">
        <v>45845</v>
      </c>
      <c r="C143" s="19" t="s">
        <v>76</v>
      </c>
      <c r="D143" s="6" t="s">
        <v>16</v>
      </c>
      <c r="E143" s="6" t="s">
        <v>13</v>
      </c>
      <c r="F143" s="5" t="s">
        <v>29</v>
      </c>
      <c r="G143" s="7">
        <v>7385</v>
      </c>
      <c r="H143" s="6">
        <v>45863</v>
      </c>
      <c r="I143" s="15">
        <v>828247</v>
      </c>
      <c r="J143" s="26">
        <v>0.4</v>
      </c>
      <c r="K143" s="18">
        <f t="shared" si="11"/>
        <v>2954</v>
      </c>
    </row>
    <row r="144" spans="1:12" x14ac:dyDescent="0.2">
      <c r="B144" s="6">
        <v>45846</v>
      </c>
      <c r="C144" s="19" t="s">
        <v>76</v>
      </c>
      <c r="D144" s="6" t="s">
        <v>16</v>
      </c>
      <c r="E144" s="6" t="s">
        <v>13</v>
      </c>
      <c r="F144" s="5" t="s">
        <v>17</v>
      </c>
      <c r="G144" s="7">
        <v>2050</v>
      </c>
      <c r="H144" s="6">
        <v>45852</v>
      </c>
      <c r="I144" s="15">
        <v>825360</v>
      </c>
      <c r="J144" s="26">
        <v>0.4</v>
      </c>
      <c r="K144" s="18">
        <f t="shared" si="11"/>
        <v>820</v>
      </c>
    </row>
    <row r="145" spans="2:11" x14ac:dyDescent="0.2">
      <c r="B145" s="6">
        <v>45846</v>
      </c>
      <c r="C145" s="19" t="s">
        <v>76</v>
      </c>
      <c r="D145" s="6" t="s">
        <v>16</v>
      </c>
      <c r="E145" s="6" t="s">
        <v>13</v>
      </c>
      <c r="F145" s="5" t="s">
        <v>17</v>
      </c>
      <c r="G145" s="7">
        <v>4760</v>
      </c>
      <c r="H145" s="6">
        <v>45866</v>
      </c>
      <c r="I145" s="15">
        <v>829113</v>
      </c>
      <c r="J145" s="26">
        <v>0.4</v>
      </c>
      <c r="K145" s="18">
        <f t="shared" si="11"/>
        <v>1904</v>
      </c>
    </row>
    <row r="146" spans="2:11" x14ac:dyDescent="0.2">
      <c r="B146" s="6">
        <v>45847</v>
      </c>
      <c r="C146" s="19" t="s">
        <v>105</v>
      </c>
      <c r="D146" s="6" t="s">
        <v>106</v>
      </c>
      <c r="E146" s="6" t="s">
        <v>13</v>
      </c>
      <c r="F146" s="5" t="s">
        <v>107</v>
      </c>
      <c r="G146" s="7">
        <v>4650</v>
      </c>
      <c r="H146" s="6">
        <v>45852</v>
      </c>
      <c r="I146" s="15" t="s">
        <v>136</v>
      </c>
      <c r="J146" s="26">
        <v>0.4</v>
      </c>
      <c r="K146" s="18">
        <f t="shared" si="11"/>
        <v>1860</v>
      </c>
    </row>
    <row r="147" spans="2:11" x14ac:dyDescent="0.2">
      <c r="B147" s="6">
        <v>45848</v>
      </c>
      <c r="C147" s="19" t="s">
        <v>30</v>
      </c>
      <c r="D147" s="6" t="s">
        <v>16</v>
      </c>
      <c r="E147" s="6" t="s">
        <v>13</v>
      </c>
      <c r="F147" s="5" t="s">
        <v>137</v>
      </c>
      <c r="G147" s="7">
        <v>5476.73</v>
      </c>
      <c r="H147" s="6">
        <v>45863</v>
      </c>
      <c r="I147" s="15" t="s">
        <v>138</v>
      </c>
      <c r="J147" s="26">
        <v>0.5</v>
      </c>
      <c r="K147" s="18">
        <f t="shared" si="11"/>
        <v>2738.3649999999998</v>
      </c>
    </row>
    <row r="148" spans="2:11" x14ac:dyDescent="0.2">
      <c r="B148" s="6">
        <v>45849</v>
      </c>
      <c r="C148" s="19" t="s">
        <v>24</v>
      </c>
      <c r="D148" s="6" t="s">
        <v>16</v>
      </c>
      <c r="E148" s="6" t="s">
        <v>13</v>
      </c>
      <c r="F148" s="5" t="s">
        <v>21</v>
      </c>
      <c r="G148" s="7">
        <v>7200</v>
      </c>
      <c r="H148" s="6">
        <v>45877</v>
      </c>
      <c r="I148" s="15">
        <v>832714</v>
      </c>
      <c r="J148" s="26">
        <v>0.4</v>
      </c>
      <c r="K148" s="18">
        <f t="shared" si="11"/>
        <v>2880</v>
      </c>
    </row>
    <row r="149" spans="2:11" x14ac:dyDescent="0.2">
      <c r="B149" s="6">
        <v>45849</v>
      </c>
      <c r="C149" s="19" t="s">
        <v>30</v>
      </c>
      <c r="D149" s="6" t="s">
        <v>16</v>
      </c>
      <c r="E149" s="6" t="s">
        <v>13</v>
      </c>
      <c r="F149" s="5" t="s">
        <v>17</v>
      </c>
      <c r="G149" s="7">
        <v>42206.01</v>
      </c>
      <c r="H149" s="6">
        <v>45863</v>
      </c>
      <c r="I149" s="15" t="s">
        <v>139</v>
      </c>
      <c r="J149" s="26">
        <v>0.5</v>
      </c>
      <c r="K149" s="18">
        <f t="shared" si="11"/>
        <v>21103.005000000001</v>
      </c>
    </row>
    <row r="150" spans="2:11" x14ac:dyDescent="0.2">
      <c r="B150" s="6">
        <v>45852</v>
      </c>
      <c r="C150" s="19" t="s">
        <v>76</v>
      </c>
      <c r="D150" s="6" t="s">
        <v>16</v>
      </c>
      <c r="E150" s="6" t="s">
        <v>13</v>
      </c>
      <c r="F150" s="5" t="s">
        <v>29</v>
      </c>
      <c r="G150" s="7">
        <v>6760</v>
      </c>
      <c r="H150" s="6">
        <v>45873</v>
      </c>
      <c r="I150" s="15">
        <v>830437</v>
      </c>
      <c r="J150" s="26">
        <v>0.4</v>
      </c>
      <c r="K150" s="18">
        <f t="shared" si="11"/>
        <v>2704</v>
      </c>
    </row>
    <row r="151" spans="2:11" x14ac:dyDescent="0.2">
      <c r="B151" s="6">
        <v>45853</v>
      </c>
      <c r="C151" s="19" t="s">
        <v>105</v>
      </c>
      <c r="D151" s="6" t="s">
        <v>106</v>
      </c>
      <c r="E151" s="6" t="s">
        <v>13</v>
      </c>
      <c r="F151" s="5" t="s">
        <v>107</v>
      </c>
      <c r="G151" s="7">
        <v>2725</v>
      </c>
      <c r="H151" s="6">
        <v>45866</v>
      </c>
      <c r="I151" s="15" t="s">
        <v>140</v>
      </c>
      <c r="J151" s="26">
        <v>0.4</v>
      </c>
      <c r="K151" s="18">
        <f t="shared" si="11"/>
        <v>1090</v>
      </c>
    </row>
    <row r="152" spans="2:11" x14ac:dyDescent="0.2">
      <c r="B152" s="6">
        <v>45853</v>
      </c>
      <c r="C152" s="19" t="s">
        <v>105</v>
      </c>
      <c r="D152" s="6" t="s">
        <v>106</v>
      </c>
      <c r="E152" s="6" t="s">
        <v>13</v>
      </c>
      <c r="F152" s="5" t="s">
        <v>107</v>
      </c>
      <c r="G152" s="7">
        <v>5350</v>
      </c>
      <c r="H152" s="6">
        <v>45866</v>
      </c>
      <c r="I152" s="15" t="s">
        <v>141</v>
      </c>
      <c r="J152" s="26">
        <v>0.4</v>
      </c>
      <c r="K152" s="18">
        <f t="shared" si="11"/>
        <v>2140</v>
      </c>
    </row>
    <row r="153" spans="2:11" x14ac:dyDescent="0.2">
      <c r="B153" s="6">
        <v>45854</v>
      </c>
      <c r="C153" s="19" t="s">
        <v>105</v>
      </c>
      <c r="D153" s="6" t="s">
        <v>106</v>
      </c>
      <c r="E153" s="6" t="s">
        <v>13</v>
      </c>
      <c r="F153" s="5" t="s">
        <v>107</v>
      </c>
      <c r="G153" s="7">
        <v>4650</v>
      </c>
      <c r="H153" s="6">
        <v>45866</v>
      </c>
      <c r="I153" s="15" t="s">
        <v>142</v>
      </c>
      <c r="J153" s="26">
        <v>0.4</v>
      </c>
      <c r="K153" s="18">
        <f t="shared" si="11"/>
        <v>1860</v>
      </c>
    </row>
    <row r="154" spans="2:11" x14ac:dyDescent="0.2">
      <c r="B154" s="6">
        <v>45854</v>
      </c>
      <c r="C154" s="19" t="s">
        <v>105</v>
      </c>
      <c r="D154" s="6" t="s">
        <v>106</v>
      </c>
      <c r="E154" s="6" t="s">
        <v>13</v>
      </c>
      <c r="F154" s="5" t="s">
        <v>107</v>
      </c>
      <c r="G154" s="7">
        <v>2550</v>
      </c>
      <c r="H154" s="6">
        <v>45866</v>
      </c>
      <c r="I154" s="15" t="s">
        <v>143</v>
      </c>
      <c r="J154" s="26">
        <v>0.4</v>
      </c>
      <c r="K154" s="18">
        <f t="shared" si="11"/>
        <v>1020</v>
      </c>
    </row>
    <row r="155" spans="2:11" x14ac:dyDescent="0.2">
      <c r="B155" s="6">
        <v>45860</v>
      </c>
      <c r="C155" s="19" t="s">
        <v>105</v>
      </c>
      <c r="D155" s="6" t="s">
        <v>106</v>
      </c>
      <c r="E155" s="6" t="s">
        <v>13</v>
      </c>
      <c r="F155" s="5" t="s">
        <v>107</v>
      </c>
      <c r="G155" s="7">
        <v>2725</v>
      </c>
      <c r="H155" s="6">
        <v>45873</v>
      </c>
      <c r="I155" s="15" t="s">
        <v>144</v>
      </c>
      <c r="J155" s="26">
        <v>0.4</v>
      </c>
      <c r="K155" s="18">
        <f t="shared" si="11"/>
        <v>1090</v>
      </c>
    </row>
    <row r="156" spans="2:11" x14ac:dyDescent="0.2">
      <c r="B156" s="6">
        <v>45860</v>
      </c>
      <c r="C156" s="19" t="s">
        <v>104</v>
      </c>
      <c r="D156" s="6" t="s">
        <v>16</v>
      </c>
      <c r="E156" s="6" t="s">
        <v>13</v>
      </c>
      <c r="F156" s="5" t="s">
        <v>29</v>
      </c>
      <c r="G156" s="7">
        <v>4403.8999999999996</v>
      </c>
      <c r="H156" s="6">
        <v>45873</v>
      </c>
      <c r="I156" s="15">
        <v>2190302</v>
      </c>
      <c r="J156" s="26">
        <v>0.4</v>
      </c>
      <c r="K156" s="18">
        <f t="shared" si="11"/>
        <v>1761.56</v>
      </c>
    </row>
    <row r="157" spans="2:11" x14ac:dyDescent="0.2">
      <c r="B157" s="6">
        <v>45860</v>
      </c>
      <c r="C157" s="19" t="s">
        <v>30</v>
      </c>
      <c r="D157" s="6" t="s">
        <v>16</v>
      </c>
      <c r="E157" s="6" t="s">
        <v>13</v>
      </c>
      <c r="F157" s="5" t="s">
        <v>17</v>
      </c>
      <c r="G157" s="7">
        <v>78194.78</v>
      </c>
      <c r="H157" s="6">
        <v>45866</v>
      </c>
      <c r="I157" s="15" t="s">
        <v>145</v>
      </c>
      <c r="J157" s="26">
        <v>0.5</v>
      </c>
      <c r="K157" s="18">
        <f t="shared" si="11"/>
        <v>39097.39</v>
      </c>
    </row>
    <row r="158" spans="2:11" x14ac:dyDescent="0.2">
      <c r="B158" s="6">
        <v>45860</v>
      </c>
      <c r="C158" s="19" t="s">
        <v>24</v>
      </c>
      <c r="D158" s="6" t="s">
        <v>16</v>
      </c>
      <c r="E158" s="6" t="s">
        <v>13</v>
      </c>
      <c r="F158" s="5" t="s">
        <v>22</v>
      </c>
      <c r="G158" s="7">
        <v>5885</v>
      </c>
      <c r="H158" s="6">
        <v>45877</v>
      </c>
      <c r="I158" s="15">
        <v>833104</v>
      </c>
      <c r="J158" s="26">
        <v>0.4</v>
      </c>
      <c r="K158" s="18">
        <f t="shared" si="11"/>
        <v>2354</v>
      </c>
    </row>
    <row r="159" spans="2:11" x14ac:dyDescent="0.2">
      <c r="B159" s="6">
        <v>45861</v>
      </c>
      <c r="C159" s="19" t="s">
        <v>105</v>
      </c>
      <c r="D159" s="6" t="s">
        <v>106</v>
      </c>
      <c r="E159" s="6" t="s">
        <v>13</v>
      </c>
      <c r="F159" s="5" t="s">
        <v>107</v>
      </c>
      <c r="G159" s="7">
        <v>2725</v>
      </c>
      <c r="H159" s="6">
        <v>45873</v>
      </c>
      <c r="I159" s="15" t="s">
        <v>146</v>
      </c>
      <c r="J159" s="26">
        <v>0.4</v>
      </c>
      <c r="K159" s="18">
        <f t="shared" si="11"/>
        <v>1090</v>
      </c>
    </row>
    <row r="160" spans="2:11" x14ac:dyDescent="0.2">
      <c r="B160" s="6">
        <v>45861</v>
      </c>
      <c r="C160" s="19" t="s">
        <v>54</v>
      </c>
      <c r="D160" s="6" t="s">
        <v>55</v>
      </c>
      <c r="E160" s="6" t="s">
        <v>13</v>
      </c>
      <c r="F160" s="5" t="s">
        <v>56</v>
      </c>
      <c r="G160" s="7">
        <v>9045</v>
      </c>
      <c r="H160" s="6">
        <v>45877</v>
      </c>
      <c r="I160" s="15">
        <v>445729</v>
      </c>
      <c r="J160" s="26">
        <v>0.4</v>
      </c>
      <c r="K160" s="18">
        <f t="shared" ref="K160:K168" si="12">IF(I160="",0,+G160*J160)</f>
        <v>3618</v>
      </c>
    </row>
    <row r="161" spans="1:11" x14ac:dyDescent="0.2">
      <c r="B161" s="6">
        <v>45862</v>
      </c>
      <c r="C161" s="19" t="s">
        <v>30</v>
      </c>
      <c r="D161" s="6" t="s">
        <v>16</v>
      </c>
      <c r="E161" s="6" t="s">
        <v>13</v>
      </c>
      <c r="F161" s="5" t="s">
        <v>17</v>
      </c>
      <c r="G161" s="7">
        <v>74796.960000000006</v>
      </c>
      <c r="H161" s="6">
        <v>45873</v>
      </c>
      <c r="I161" s="15" t="s">
        <v>147</v>
      </c>
      <c r="J161" s="26">
        <v>0.5</v>
      </c>
      <c r="K161" s="18">
        <f t="shared" si="12"/>
        <v>37398.480000000003</v>
      </c>
    </row>
    <row r="162" spans="1:11" x14ac:dyDescent="0.2">
      <c r="B162" s="6">
        <v>45862</v>
      </c>
      <c r="C162" s="19" t="s">
        <v>105</v>
      </c>
      <c r="D162" s="6" t="s">
        <v>106</v>
      </c>
      <c r="E162" s="6" t="s">
        <v>13</v>
      </c>
      <c r="F162" s="5" t="s">
        <v>107</v>
      </c>
      <c r="G162" s="7">
        <v>3175</v>
      </c>
      <c r="H162" s="6">
        <v>45873</v>
      </c>
      <c r="I162" s="15" t="s">
        <v>148</v>
      </c>
      <c r="J162" s="26">
        <v>0.4</v>
      </c>
      <c r="K162" s="18">
        <f t="shared" si="12"/>
        <v>1270</v>
      </c>
    </row>
    <row r="163" spans="1:11" x14ac:dyDescent="0.2">
      <c r="B163" s="6">
        <v>45863</v>
      </c>
      <c r="C163" s="19" t="s">
        <v>24</v>
      </c>
      <c r="D163" s="6" t="s">
        <v>16</v>
      </c>
      <c r="E163" s="6" t="s">
        <v>13</v>
      </c>
      <c r="F163" s="5" t="s">
        <v>21</v>
      </c>
      <c r="G163" s="7">
        <v>4760</v>
      </c>
      <c r="H163" s="6">
        <v>45898</v>
      </c>
      <c r="I163" s="15">
        <v>841671</v>
      </c>
      <c r="J163" s="26">
        <v>0.4</v>
      </c>
      <c r="K163" s="18">
        <f t="shared" si="12"/>
        <v>1904</v>
      </c>
    </row>
    <row r="164" spans="1:11" x14ac:dyDescent="0.2">
      <c r="B164" s="6">
        <v>45863</v>
      </c>
      <c r="C164" s="19" t="s">
        <v>19</v>
      </c>
      <c r="D164" s="6" t="s">
        <v>149</v>
      </c>
      <c r="E164" s="6" t="s">
        <v>13</v>
      </c>
      <c r="F164" s="5" t="s">
        <v>150</v>
      </c>
      <c r="G164" s="7">
        <v>4700</v>
      </c>
      <c r="H164" s="6">
        <v>45875</v>
      </c>
      <c r="I164" s="15" t="s">
        <v>151</v>
      </c>
      <c r="J164" s="26">
        <v>0.4</v>
      </c>
      <c r="K164" s="18">
        <f t="shared" si="12"/>
        <v>1880</v>
      </c>
    </row>
    <row r="165" spans="1:11" x14ac:dyDescent="0.2">
      <c r="B165" s="6">
        <v>45867</v>
      </c>
      <c r="C165" s="19" t="s">
        <v>104</v>
      </c>
      <c r="D165" s="6" t="s">
        <v>16</v>
      </c>
      <c r="E165" s="6" t="s">
        <v>13</v>
      </c>
      <c r="F165" s="5" t="s">
        <v>29</v>
      </c>
      <c r="G165" s="7">
        <v>4944.3999999999996</v>
      </c>
      <c r="H165" s="6">
        <v>45877</v>
      </c>
      <c r="I165" s="15">
        <v>2196967</v>
      </c>
      <c r="J165" s="26">
        <v>0.4</v>
      </c>
      <c r="K165" s="18">
        <f t="shared" si="12"/>
        <v>1977.76</v>
      </c>
    </row>
    <row r="166" spans="1:11" x14ac:dyDescent="0.2">
      <c r="B166" s="6">
        <v>45868</v>
      </c>
      <c r="C166" s="19" t="s">
        <v>30</v>
      </c>
      <c r="D166" s="6" t="s">
        <v>16</v>
      </c>
      <c r="E166" s="6" t="s">
        <v>13</v>
      </c>
      <c r="F166" s="5" t="s">
        <v>17</v>
      </c>
      <c r="G166" s="7">
        <v>9147.4699999999993</v>
      </c>
      <c r="H166" s="6">
        <v>45877</v>
      </c>
      <c r="I166" s="15" t="s">
        <v>152</v>
      </c>
      <c r="J166" s="26">
        <v>0.5</v>
      </c>
      <c r="K166" s="18">
        <f t="shared" si="12"/>
        <v>4573.7349999999997</v>
      </c>
    </row>
    <row r="167" spans="1:11" x14ac:dyDescent="0.2">
      <c r="B167" s="6">
        <v>45868</v>
      </c>
      <c r="C167" s="19" t="s">
        <v>105</v>
      </c>
      <c r="D167" s="6" t="s">
        <v>106</v>
      </c>
      <c r="E167" s="6" t="s">
        <v>13</v>
      </c>
      <c r="F167" s="5" t="s">
        <v>107</v>
      </c>
      <c r="G167" s="7">
        <v>2725</v>
      </c>
      <c r="H167" s="6">
        <v>45877</v>
      </c>
      <c r="I167" s="15" t="s">
        <v>153</v>
      </c>
      <c r="J167" s="26">
        <v>0.4</v>
      </c>
      <c r="K167" s="18">
        <f t="shared" si="12"/>
        <v>1090</v>
      </c>
    </row>
    <row r="168" spans="1:11" ht="13.5" thickBot="1" x14ac:dyDescent="0.25">
      <c r="B168" s="6">
        <v>45869</v>
      </c>
      <c r="C168" s="19" t="s">
        <v>24</v>
      </c>
      <c r="D168" s="6" t="s">
        <v>20</v>
      </c>
      <c r="E168" s="6" t="s">
        <v>13</v>
      </c>
      <c r="F168" s="5" t="s">
        <v>21</v>
      </c>
      <c r="G168" s="7">
        <v>4385</v>
      </c>
      <c r="H168" s="6">
        <v>45877</v>
      </c>
      <c r="I168" s="15">
        <v>833009</v>
      </c>
      <c r="J168" s="26">
        <v>0.4</v>
      </c>
      <c r="K168" s="18">
        <f t="shared" si="12"/>
        <v>1754</v>
      </c>
    </row>
    <row r="169" spans="1:11" ht="13.5" thickBot="1" x14ac:dyDescent="0.25">
      <c r="G169" s="2">
        <f>SUM(G136:G168)</f>
        <v>411826.59</v>
      </c>
      <c r="K169" s="24">
        <f>SUM(K135:K168)-K163</f>
        <v>181997.99000000002</v>
      </c>
    </row>
    <row r="170" spans="1:11" x14ac:dyDescent="0.2">
      <c r="D170" s="16"/>
      <c r="E170" s="3"/>
      <c r="F170" s="3"/>
      <c r="J170" s="17"/>
    </row>
    <row r="171" spans="1:11" x14ac:dyDescent="0.2">
      <c r="J171" s="3" t="s">
        <v>18</v>
      </c>
      <c r="K171" s="4">
        <f>K169+K105+K111+K112+K114+K115+K119+K120+K130+K113+K6</f>
        <v>201174.99000000002</v>
      </c>
    </row>
    <row r="173" spans="1:11" x14ac:dyDescent="0.2">
      <c r="A173" s="1" t="s">
        <v>163</v>
      </c>
      <c r="B173" s="6">
        <v>45873</v>
      </c>
      <c r="C173" s="19" t="s">
        <v>54</v>
      </c>
      <c r="D173" s="6" t="s">
        <v>114</v>
      </c>
      <c r="E173" s="6" t="s">
        <v>13</v>
      </c>
      <c r="F173" s="5" t="s">
        <v>56</v>
      </c>
      <c r="G173" s="7">
        <v>8970</v>
      </c>
      <c r="H173" s="6">
        <v>45877</v>
      </c>
      <c r="I173" s="15" t="s">
        <v>164</v>
      </c>
      <c r="J173" s="26">
        <v>0.4</v>
      </c>
      <c r="K173" s="32">
        <f t="shared" ref="K173" si="13">IF(I173="",0,+G173*J173)</f>
        <v>3588</v>
      </c>
    </row>
    <row r="174" spans="1:11" x14ac:dyDescent="0.2">
      <c r="B174" s="6">
        <v>45874</v>
      </c>
      <c r="C174" s="19" t="s">
        <v>105</v>
      </c>
      <c r="D174" s="6" t="s">
        <v>106</v>
      </c>
      <c r="E174" s="6" t="s">
        <v>13</v>
      </c>
      <c r="F174" s="5" t="s">
        <v>107</v>
      </c>
      <c r="G174" s="7">
        <v>2725</v>
      </c>
      <c r="H174" s="6">
        <v>45880</v>
      </c>
      <c r="I174" s="15" t="s">
        <v>165</v>
      </c>
      <c r="J174" s="26">
        <v>0.4</v>
      </c>
      <c r="K174" s="18">
        <f>IF(I174="",0,+G174*J174)</f>
        <v>1090</v>
      </c>
    </row>
    <row r="175" spans="1:11" x14ac:dyDescent="0.2">
      <c r="B175" s="6">
        <v>45875</v>
      </c>
      <c r="C175" s="19" t="s">
        <v>105</v>
      </c>
      <c r="D175" s="6" t="s">
        <v>106</v>
      </c>
      <c r="E175" s="6" t="s">
        <v>13</v>
      </c>
      <c r="F175" s="5" t="s">
        <v>107</v>
      </c>
      <c r="G175" s="7">
        <v>2275</v>
      </c>
      <c r="H175" s="6">
        <v>45891</v>
      </c>
      <c r="I175" s="15" t="s">
        <v>166</v>
      </c>
      <c r="J175" s="26">
        <v>0.4</v>
      </c>
      <c r="K175" s="18">
        <f>IF(I175="",0,+G175*J175)</f>
        <v>910</v>
      </c>
    </row>
    <row r="176" spans="1:11" x14ac:dyDescent="0.2">
      <c r="B176" s="6">
        <v>45875</v>
      </c>
      <c r="C176" s="19" t="s">
        <v>24</v>
      </c>
      <c r="D176" s="6" t="s">
        <v>16</v>
      </c>
      <c r="E176" s="6" t="s">
        <v>13</v>
      </c>
      <c r="F176" s="5" t="s">
        <v>21</v>
      </c>
      <c r="G176" s="7">
        <v>3385</v>
      </c>
      <c r="H176" s="6">
        <v>45880</v>
      </c>
      <c r="I176" s="15" t="s">
        <v>167</v>
      </c>
      <c r="J176" s="26">
        <v>0.4</v>
      </c>
      <c r="K176" s="18">
        <f t="shared" ref="K176:K202" si="14">IF(I176="",0,+G176*J176)</f>
        <v>1354</v>
      </c>
    </row>
    <row r="177" spans="2:11" x14ac:dyDescent="0.2">
      <c r="B177" s="6">
        <v>45875</v>
      </c>
      <c r="C177" s="19" t="s">
        <v>105</v>
      </c>
      <c r="D177" s="6" t="s">
        <v>106</v>
      </c>
      <c r="E177" s="6" t="s">
        <v>13</v>
      </c>
      <c r="F177" s="5" t="s">
        <v>107</v>
      </c>
      <c r="G177" s="7">
        <v>8000</v>
      </c>
      <c r="H177" s="6">
        <v>45891</v>
      </c>
      <c r="I177" s="15" t="s">
        <v>168</v>
      </c>
      <c r="J177" s="26">
        <v>0.4</v>
      </c>
      <c r="K177" s="18">
        <f t="shared" si="14"/>
        <v>3200</v>
      </c>
    </row>
    <row r="178" spans="2:11" x14ac:dyDescent="0.2">
      <c r="B178" s="6">
        <v>45879</v>
      </c>
      <c r="C178" s="19" t="s">
        <v>48</v>
      </c>
      <c r="D178" s="6" t="s">
        <v>16</v>
      </c>
      <c r="E178" s="6" t="s">
        <v>13</v>
      </c>
      <c r="F178" s="5" t="s">
        <v>17</v>
      </c>
      <c r="G178" s="7">
        <v>6230</v>
      </c>
      <c r="H178" s="6">
        <v>45891</v>
      </c>
      <c r="I178" s="15" t="s">
        <v>169</v>
      </c>
      <c r="J178" s="26">
        <v>0.4</v>
      </c>
      <c r="K178" s="18">
        <f t="shared" si="14"/>
        <v>2492</v>
      </c>
    </row>
    <row r="179" spans="2:11" x14ac:dyDescent="0.2">
      <c r="B179" s="6">
        <v>45881</v>
      </c>
      <c r="C179" s="19" t="s">
        <v>105</v>
      </c>
      <c r="D179" s="6" t="s">
        <v>106</v>
      </c>
      <c r="E179" s="6" t="s">
        <v>13</v>
      </c>
      <c r="F179" s="5" t="s">
        <v>107</v>
      </c>
      <c r="G179" s="7">
        <v>2725</v>
      </c>
      <c r="H179" s="6">
        <v>45891</v>
      </c>
      <c r="I179" s="15" t="s">
        <v>170</v>
      </c>
      <c r="J179" s="26">
        <v>0.4</v>
      </c>
      <c r="K179" s="18">
        <f t="shared" si="14"/>
        <v>1090</v>
      </c>
    </row>
    <row r="180" spans="2:11" x14ac:dyDescent="0.2">
      <c r="B180" s="6">
        <v>45881</v>
      </c>
      <c r="C180" s="19" t="s">
        <v>105</v>
      </c>
      <c r="D180" s="6" t="s">
        <v>106</v>
      </c>
      <c r="E180" s="6" t="s">
        <v>13</v>
      </c>
      <c r="F180" s="5" t="s">
        <v>107</v>
      </c>
      <c r="G180" s="7">
        <v>2275</v>
      </c>
      <c r="H180" s="6">
        <v>45891</v>
      </c>
      <c r="I180" s="15" t="s">
        <v>171</v>
      </c>
      <c r="J180" s="26">
        <v>0.4</v>
      </c>
      <c r="K180" s="18">
        <f t="shared" si="14"/>
        <v>910</v>
      </c>
    </row>
    <row r="181" spans="2:11" x14ac:dyDescent="0.2">
      <c r="B181" s="6">
        <v>45882</v>
      </c>
      <c r="C181" s="19" t="s">
        <v>105</v>
      </c>
      <c r="D181" s="6" t="s">
        <v>106</v>
      </c>
      <c r="E181" s="6" t="s">
        <v>13</v>
      </c>
      <c r="F181" s="5" t="s">
        <v>107</v>
      </c>
      <c r="G181" s="7">
        <v>4850</v>
      </c>
      <c r="H181" s="6">
        <v>45891</v>
      </c>
      <c r="I181" s="15" t="s">
        <v>172</v>
      </c>
      <c r="J181" s="26">
        <v>0.4</v>
      </c>
      <c r="K181" s="18">
        <f t="shared" si="14"/>
        <v>1940</v>
      </c>
    </row>
    <row r="182" spans="2:11" x14ac:dyDescent="0.2">
      <c r="B182" s="6">
        <v>45882</v>
      </c>
      <c r="C182" s="19" t="s">
        <v>105</v>
      </c>
      <c r="D182" s="6" t="s">
        <v>106</v>
      </c>
      <c r="E182" s="6" t="s">
        <v>13</v>
      </c>
      <c r="F182" s="5" t="s">
        <v>107</v>
      </c>
      <c r="G182" s="7">
        <v>2325</v>
      </c>
      <c r="H182" s="6">
        <v>45891</v>
      </c>
      <c r="I182" s="15" t="s">
        <v>173</v>
      </c>
      <c r="J182" s="26">
        <v>0.4</v>
      </c>
      <c r="K182" s="18">
        <f t="shared" si="14"/>
        <v>930</v>
      </c>
    </row>
    <row r="183" spans="2:11" x14ac:dyDescent="0.2">
      <c r="B183" s="6">
        <v>45883</v>
      </c>
      <c r="C183" s="19" t="s">
        <v>30</v>
      </c>
      <c r="D183" s="6" t="s">
        <v>16</v>
      </c>
      <c r="E183" s="6" t="s">
        <v>13</v>
      </c>
      <c r="F183" s="5" t="s">
        <v>17</v>
      </c>
      <c r="G183" s="7">
        <v>43439.3</v>
      </c>
      <c r="H183" s="6">
        <v>45895</v>
      </c>
      <c r="I183" s="15" t="s">
        <v>174</v>
      </c>
      <c r="J183" s="26">
        <v>0.5</v>
      </c>
      <c r="K183" s="18">
        <f t="shared" si="14"/>
        <v>21719.65</v>
      </c>
    </row>
    <row r="184" spans="2:11" x14ac:dyDescent="0.2">
      <c r="B184" s="6">
        <v>45883</v>
      </c>
      <c r="C184" s="19" t="s">
        <v>19</v>
      </c>
      <c r="D184" s="6" t="s">
        <v>20</v>
      </c>
      <c r="E184" s="6" t="s">
        <v>13</v>
      </c>
      <c r="F184" s="5" t="s">
        <v>21</v>
      </c>
      <c r="G184" s="7">
        <v>2160</v>
      </c>
      <c r="H184" s="6">
        <v>45895</v>
      </c>
      <c r="I184" s="15" t="s">
        <v>175</v>
      </c>
      <c r="J184" s="26">
        <v>0.4</v>
      </c>
      <c r="K184" s="18">
        <f t="shared" si="14"/>
        <v>864</v>
      </c>
    </row>
    <row r="185" spans="2:11" x14ac:dyDescent="0.2">
      <c r="B185" s="6">
        <v>45884</v>
      </c>
      <c r="C185" s="19" t="s">
        <v>105</v>
      </c>
      <c r="D185" s="6" t="s">
        <v>106</v>
      </c>
      <c r="E185" s="6" t="s">
        <v>13</v>
      </c>
      <c r="F185" s="5" t="s">
        <v>107</v>
      </c>
      <c r="G185" s="7">
        <v>2725</v>
      </c>
      <c r="H185" s="6">
        <v>45895</v>
      </c>
      <c r="I185" s="15" t="s">
        <v>176</v>
      </c>
      <c r="J185" s="26">
        <v>0.4</v>
      </c>
      <c r="K185" s="18">
        <f t="shared" si="14"/>
        <v>1090</v>
      </c>
    </row>
    <row r="186" spans="2:11" x14ac:dyDescent="0.2">
      <c r="B186" s="6">
        <v>45887</v>
      </c>
      <c r="C186" s="19" t="s">
        <v>76</v>
      </c>
      <c r="D186" s="6" t="s">
        <v>16</v>
      </c>
      <c r="E186" s="6" t="s">
        <v>13</v>
      </c>
      <c r="F186" s="5" t="s">
        <v>29</v>
      </c>
      <c r="G186" s="7">
        <v>4820</v>
      </c>
      <c r="H186" s="6">
        <v>45898</v>
      </c>
      <c r="I186" s="15">
        <v>842053</v>
      </c>
      <c r="J186" s="26">
        <v>0.4</v>
      </c>
      <c r="K186" s="18">
        <f t="shared" si="14"/>
        <v>1928</v>
      </c>
    </row>
    <row r="187" spans="2:11" x14ac:dyDescent="0.2">
      <c r="B187" s="6">
        <v>45888</v>
      </c>
      <c r="C187" s="19" t="s">
        <v>105</v>
      </c>
      <c r="D187" s="6" t="s">
        <v>106</v>
      </c>
      <c r="E187" s="6" t="s">
        <v>13</v>
      </c>
      <c r="F187" s="5" t="s">
        <v>107</v>
      </c>
      <c r="G187" s="7">
        <v>4650</v>
      </c>
      <c r="H187" s="6">
        <v>45895</v>
      </c>
      <c r="I187" s="15" t="s">
        <v>177</v>
      </c>
      <c r="J187" s="26">
        <v>0.4</v>
      </c>
      <c r="K187" s="18">
        <f t="shared" si="14"/>
        <v>1860</v>
      </c>
    </row>
    <row r="188" spans="2:11" x14ac:dyDescent="0.2">
      <c r="B188" s="6">
        <v>45888</v>
      </c>
      <c r="C188" s="19" t="s">
        <v>104</v>
      </c>
      <c r="D188" s="6" t="s">
        <v>16</v>
      </c>
      <c r="E188" s="6" t="s">
        <v>13</v>
      </c>
      <c r="F188" s="5" t="s">
        <v>29</v>
      </c>
      <c r="G188" s="7">
        <v>8389.5</v>
      </c>
      <c r="H188" s="6">
        <v>45904</v>
      </c>
      <c r="I188" s="15">
        <v>2232585</v>
      </c>
      <c r="J188" s="26">
        <v>0.4</v>
      </c>
      <c r="K188" s="18">
        <f t="shared" si="14"/>
        <v>3355.8</v>
      </c>
    </row>
    <row r="189" spans="2:11" x14ac:dyDescent="0.2">
      <c r="B189" s="6">
        <v>45888</v>
      </c>
      <c r="C189" s="19" t="s">
        <v>104</v>
      </c>
      <c r="D189" s="6" t="s">
        <v>16</v>
      </c>
      <c r="E189" s="6" t="s">
        <v>13</v>
      </c>
      <c r="F189" s="5" t="s">
        <v>29</v>
      </c>
      <c r="G189" s="7">
        <v>6404.1</v>
      </c>
      <c r="H189" s="6">
        <v>45905</v>
      </c>
      <c r="I189" s="15">
        <v>2232645</v>
      </c>
      <c r="J189" s="26">
        <v>0.4</v>
      </c>
      <c r="K189" s="18">
        <f t="shared" si="14"/>
        <v>2561.6400000000003</v>
      </c>
    </row>
    <row r="190" spans="2:11" x14ac:dyDescent="0.2">
      <c r="B190" s="6">
        <v>45888</v>
      </c>
      <c r="C190" s="19" t="s">
        <v>30</v>
      </c>
      <c r="D190" s="6" t="s">
        <v>16</v>
      </c>
      <c r="E190" s="6" t="s">
        <v>13</v>
      </c>
      <c r="F190" s="5" t="s">
        <v>71</v>
      </c>
      <c r="G190" s="7">
        <v>110841.12</v>
      </c>
      <c r="H190" s="6">
        <v>45895</v>
      </c>
      <c r="I190" s="15" t="s">
        <v>178</v>
      </c>
      <c r="J190" s="26">
        <v>0.5</v>
      </c>
      <c r="K190" s="18">
        <f t="shared" si="14"/>
        <v>55420.56</v>
      </c>
    </row>
    <row r="191" spans="2:11" x14ac:dyDescent="0.2">
      <c r="B191" s="6">
        <v>45889</v>
      </c>
      <c r="C191" s="19" t="s">
        <v>105</v>
      </c>
      <c r="D191" s="6" t="s">
        <v>106</v>
      </c>
      <c r="E191" s="6" t="s">
        <v>13</v>
      </c>
      <c r="F191" s="5" t="s">
        <v>107</v>
      </c>
      <c r="G191" s="7">
        <v>2550</v>
      </c>
      <c r="H191" s="6">
        <v>45896</v>
      </c>
      <c r="I191" s="15" t="s">
        <v>179</v>
      </c>
      <c r="J191" s="26">
        <v>0.4</v>
      </c>
      <c r="K191" s="18">
        <f t="shared" si="14"/>
        <v>1020</v>
      </c>
    </row>
    <row r="192" spans="2:11" x14ac:dyDescent="0.2">
      <c r="B192" s="6">
        <v>45889</v>
      </c>
      <c r="C192" s="19" t="s">
        <v>105</v>
      </c>
      <c r="D192" s="6" t="s">
        <v>106</v>
      </c>
      <c r="E192" s="6" t="s">
        <v>13</v>
      </c>
      <c r="F192" s="5" t="s">
        <v>107</v>
      </c>
      <c r="G192" s="7">
        <v>2725</v>
      </c>
      <c r="H192" s="6">
        <v>45896</v>
      </c>
      <c r="I192" s="15" t="s">
        <v>180</v>
      </c>
      <c r="J192" s="26">
        <v>0.4</v>
      </c>
      <c r="K192" s="18">
        <f t="shared" si="14"/>
        <v>1090</v>
      </c>
    </row>
    <row r="193" spans="1:12" x14ac:dyDescent="0.2">
      <c r="B193" s="6">
        <v>45890</v>
      </c>
      <c r="C193" s="19" t="s">
        <v>30</v>
      </c>
      <c r="D193" s="6" t="s">
        <v>16</v>
      </c>
      <c r="E193" s="6" t="s">
        <v>13</v>
      </c>
      <c r="F193" s="5" t="s">
        <v>17</v>
      </c>
      <c r="G193" s="7">
        <v>85116.42</v>
      </c>
      <c r="H193" s="6">
        <v>45895</v>
      </c>
      <c r="I193" s="15" t="s">
        <v>181</v>
      </c>
      <c r="J193" s="26">
        <v>0.5</v>
      </c>
      <c r="K193" s="18">
        <f t="shared" si="14"/>
        <v>42558.21</v>
      </c>
    </row>
    <row r="194" spans="1:12" x14ac:dyDescent="0.2">
      <c r="B194" s="6">
        <v>45893</v>
      </c>
      <c r="C194" s="19" t="s">
        <v>105</v>
      </c>
      <c r="D194" s="6" t="s">
        <v>16</v>
      </c>
      <c r="E194" s="6" t="s">
        <v>13</v>
      </c>
      <c r="F194" s="5" t="s">
        <v>17</v>
      </c>
      <c r="G194" s="7">
        <v>6750</v>
      </c>
      <c r="H194" s="6">
        <v>45896</v>
      </c>
      <c r="I194" s="15" t="s">
        <v>182</v>
      </c>
      <c r="J194" s="26">
        <v>0.4</v>
      </c>
      <c r="K194" s="18">
        <f t="shared" si="14"/>
        <v>2700</v>
      </c>
    </row>
    <row r="195" spans="1:12" x14ac:dyDescent="0.2">
      <c r="B195" s="6">
        <v>45895</v>
      </c>
      <c r="C195" s="19" t="s">
        <v>105</v>
      </c>
      <c r="D195" s="6" t="s">
        <v>106</v>
      </c>
      <c r="E195" s="6" t="s">
        <v>13</v>
      </c>
      <c r="F195" s="5" t="s">
        <v>107</v>
      </c>
      <c r="G195" s="7">
        <v>4650</v>
      </c>
      <c r="H195" s="6">
        <v>45898</v>
      </c>
      <c r="I195" s="15" t="s">
        <v>183</v>
      </c>
      <c r="J195" s="26">
        <v>0.4</v>
      </c>
      <c r="K195" s="18">
        <f t="shared" si="14"/>
        <v>1860</v>
      </c>
    </row>
    <row r="196" spans="1:12" x14ac:dyDescent="0.2">
      <c r="B196" s="6">
        <v>45895</v>
      </c>
      <c r="C196" s="19" t="s">
        <v>105</v>
      </c>
      <c r="D196" s="6" t="s">
        <v>106</v>
      </c>
      <c r="E196" s="6" t="s">
        <v>13</v>
      </c>
      <c r="F196" s="5" t="s">
        <v>107</v>
      </c>
      <c r="G196" s="7">
        <v>4650</v>
      </c>
      <c r="H196" s="6">
        <v>45904</v>
      </c>
      <c r="I196" s="15" t="s">
        <v>184</v>
      </c>
      <c r="J196" s="26">
        <v>0.4</v>
      </c>
      <c r="K196" s="18">
        <f t="shared" si="14"/>
        <v>1860</v>
      </c>
    </row>
    <row r="197" spans="1:12" x14ac:dyDescent="0.2">
      <c r="B197" s="6">
        <v>45895</v>
      </c>
      <c r="C197" s="19" t="s">
        <v>104</v>
      </c>
      <c r="D197" s="6" t="s">
        <v>16</v>
      </c>
      <c r="E197" s="6" t="s">
        <v>13</v>
      </c>
      <c r="F197" s="5" t="s">
        <v>29</v>
      </c>
      <c r="G197" s="7">
        <v>6406.1</v>
      </c>
      <c r="H197" s="6">
        <v>45911</v>
      </c>
      <c r="I197" s="15">
        <v>2232577</v>
      </c>
      <c r="J197" s="26">
        <v>0.4</v>
      </c>
      <c r="K197" s="18">
        <f t="shared" si="14"/>
        <v>2562.4400000000005</v>
      </c>
    </row>
    <row r="198" spans="1:12" x14ac:dyDescent="0.2">
      <c r="B198" s="6">
        <v>45896</v>
      </c>
      <c r="C198" s="19" t="s">
        <v>105</v>
      </c>
      <c r="D198" s="6" t="s">
        <v>106</v>
      </c>
      <c r="E198" s="6" t="s">
        <v>13</v>
      </c>
      <c r="F198" s="5" t="s">
        <v>107</v>
      </c>
      <c r="G198" s="7">
        <v>4650</v>
      </c>
      <c r="H198" s="6">
        <v>45904</v>
      </c>
      <c r="I198" s="15" t="s">
        <v>185</v>
      </c>
      <c r="J198" s="26">
        <v>0.4</v>
      </c>
      <c r="K198" s="18">
        <f t="shared" si="14"/>
        <v>1860</v>
      </c>
    </row>
    <row r="199" spans="1:12" x14ac:dyDescent="0.2">
      <c r="B199" s="6">
        <v>45896</v>
      </c>
      <c r="C199" s="19" t="s">
        <v>105</v>
      </c>
      <c r="D199" s="6" t="s">
        <v>106</v>
      </c>
      <c r="E199" s="6" t="s">
        <v>13</v>
      </c>
      <c r="F199" s="5" t="s">
        <v>107</v>
      </c>
      <c r="G199" s="7">
        <v>2725</v>
      </c>
      <c r="H199" s="6">
        <v>45904</v>
      </c>
      <c r="I199" s="15" t="s">
        <v>186</v>
      </c>
      <c r="J199" s="26">
        <v>0.4</v>
      </c>
      <c r="K199" s="18">
        <f t="shared" si="14"/>
        <v>1090</v>
      </c>
    </row>
    <row r="200" spans="1:12" x14ac:dyDescent="0.2">
      <c r="B200" s="6">
        <v>45897</v>
      </c>
      <c r="C200" s="19" t="s">
        <v>19</v>
      </c>
      <c r="D200" s="6" t="s">
        <v>20</v>
      </c>
      <c r="E200" s="6" t="s">
        <v>13</v>
      </c>
      <c r="F200" s="5" t="s">
        <v>22</v>
      </c>
      <c r="G200" s="7">
        <v>4480</v>
      </c>
      <c r="H200" s="6">
        <v>45904</v>
      </c>
      <c r="I200" s="15" t="s">
        <v>187</v>
      </c>
      <c r="J200" s="26">
        <v>0.4</v>
      </c>
      <c r="K200" s="18">
        <f t="shared" si="14"/>
        <v>1792</v>
      </c>
    </row>
    <row r="201" spans="1:12" x14ac:dyDescent="0.2">
      <c r="B201" s="6">
        <v>45899</v>
      </c>
      <c r="C201" s="19" t="s">
        <v>105</v>
      </c>
      <c r="D201" s="6" t="s">
        <v>188</v>
      </c>
      <c r="E201" s="6" t="s">
        <v>13</v>
      </c>
      <c r="F201" s="5" t="s">
        <v>189</v>
      </c>
      <c r="G201" s="7">
        <v>8400</v>
      </c>
      <c r="H201" s="6">
        <v>45905</v>
      </c>
      <c r="I201" s="15" t="s">
        <v>190</v>
      </c>
      <c r="J201" s="26">
        <v>0.4</v>
      </c>
      <c r="K201" s="18">
        <f t="shared" si="14"/>
        <v>3360</v>
      </c>
      <c r="L201" s="20"/>
    </row>
    <row r="202" spans="1:12" ht="13.5" thickBot="1" x14ac:dyDescent="0.25">
      <c r="B202" s="6">
        <v>45900</v>
      </c>
      <c r="C202" s="19" t="s">
        <v>30</v>
      </c>
      <c r="D202" s="6" t="s">
        <v>16</v>
      </c>
      <c r="E202" s="6" t="s">
        <v>13</v>
      </c>
      <c r="F202" s="5" t="s">
        <v>17</v>
      </c>
      <c r="G202" s="7">
        <v>20046.96</v>
      </c>
      <c r="H202" s="6">
        <v>45905</v>
      </c>
      <c r="I202" s="15" t="s">
        <v>191</v>
      </c>
      <c r="J202" s="26">
        <v>0.5</v>
      </c>
      <c r="K202" s="18">
        <f t="shared" si="14"/>
        <v>10023.48</v>
      </c>
    </row>
    <row r="203" spans="1:12" ht="13.5" thickBot="1" x14ac:dyDescent="0.25">
      <c r="G203" s="2">
        <f>SUM(G173:G202)</f>
        <v>380338.5</v>
      </c>
      <c r="K203" s="24">
        <f>SUM(K173:K202)</f>
        <v>178079.78</v>
      </c>
    </row>
    <row r="204" spans="1:12" x14ac:dyDescent="0.2">
      <c r="D204" s="16"/>
      <c r="E204" s="3"/>
      <c r="F204" s="3"/>
      <c r="J204" s="17"/>
    </row>
    <row r="205" spans="1:12" x14ac:dyDescent="0.2">
      <c r="J205" s="3" t="s">
        <v>18</v>
      </c>
      <c r="K205" s="4">
        <f>K203+K163</f>
        <v>179983.78</v>
      </c>
    </row>
    <row r="207" spans="1:12" x14ac:dyDescent="0.2">
      <c r="A207" s="1" t="s">
        <v>192</v>
      </c>
      <c r="B207" s="6">
        <v>45901</v>
      </c>
      <c r="C207" s="19" t="s">
        <v>30</v>
      </c>
      <c r="D207" s="6" t="s">
        <v>16</v>
      </c>
      <c r="E207" s="6" t="s">
        <v>13</v>
      </c>
      <c r="F207" s="5" t="s">
        <v>17</v>
      </c>
      <c r="G207" s="7">
        <v>29053.68</v>
      </c>
      <c r="H207" s="6">
        <v>45905</v>
      </c>
      <c r="I207" s="15" t="s">
        <v>193</v>
      </c>
      <c r="J207" s="21">
        <v>0.5</v>
      </c>
      <c r="K207" s="32">
        <f>IF(I207="",0,+G207*J207)</f>
        <v>14526.84</v>
      </c>
    </row>
    <row r="208" spans="1:12" x14ac:dyDescent="0.2">
      <c r="B208" s="6">
        <v>45901</v>
      </c>
      <c r="C208" s="19" t="s">
        <v>30</v>
      </c>
      <c r="D208" s="6" t="s">
        <v>16</v>
      </c>
      <c r="E208" s="6" t="s">
        <v>13</v>
      </c>
      <c r="F208" s="5" t="s">
        <v>17</v>
      </c>
      <c r="G208" s="7">
        <v>78194.78</v>
      </c>
      <c r="H208" s="6">
        <v>45905</v>
      </c>
      <c r="I208" s="15" t="s">
        <v>194</v>
      </c>
      <c r="J208" s="21">
        <v>0.5</v>
      </c>
      <c r="K208" s="18">
        <f>IF(I208="",0,+G208*J208)</f>
        <v>39097.39</v>
      </c>
    </row>
    <row r="209" spans="2:11" x14ac:dyDescent="0.2">
      <c r="B209" s="6">
        <v>45901</v>
      </c>
      <c r="C209" s="19" t="s">
        <v>30</v>
      </c>
      <c r="D209" s="6" t="s">
        <v>16</v>
      </c>
      <c r="E209" s="6" t="s">
        <v>13</v>
      </c>
      <c r="F209" s="5" t="s">
        <v>17</v>
      </c>
      <c r="G209" s="7">
        <v>111562.8</v>
      </c>
      <c r="H209" s="6">
        <v>45905</v>
      </c>
      <c r="I209" s="15" t="s">
        <v>195</v>
      </c>
      <c r="J209" s="21">
        <v>0.5</v>
      </c>
      <c r="K209" s="18">
        <f>IF(I209="",0,+G209*J209)</f>
        <v>55781.4</v>
      </c>
    </row>
    <row r="210" spans="2:11" x14ac:dyDescent="0.2">
      <c r="B210" s="6">
        <v>45902</v>
      </c>
      <c r="C210" s="19" t="s">
        <v>105</v>
      </c>
      <c r="D210" s="6" t="s">
        <v>106</v>
      </c>
      <c r="E210" s="6" t="s">
        <v>13</v>
      </c>
      <c r="F210" s="5" t="s">
        <v>107</v>
      </c>
      <c r="G210" s="7">
        <v>4650</v>
      </c>
      <c r="H210" s="6">
        <v>45905</v>
      </c>
      <c r="I210" s="15" t="s">
        <v>196</v>
      </c>
      <c r="J210" s="23">
        <v>0.4</v>
      </c>
      <c r="K210" s="18">
        <f t="shared" ref="K210:K245" si="15">IF(I210="",0,+G210*J210)</f>
        <v>1860</v>
      </c>
    </row>
    <row r="211" spans="2:11" x14ac:dyDescent="0.2">
      <c r="B211" s="6">
        <v>45902</v>
      </c>
      <c r="C211" s="19" t="s">
        <v>19</v>
      </c>
      <c r="D211" s="6" t="s">
        <v>16</v>
      </c>
      <c r="E211" s="6" t="s">
        <v>13</v>
      </c>
      <c r="F211" s="5" t="s">
        <v>17</v>
      </c>
      <c r="G211" s="7">
        <v>5385</v>
      </c>
      <c r="H211" s="6">
        <v>45909</v>
      </c>
      <c r="I211" s="15" t="s">
        <v>197</v>
      </c>
      <c r="J211" s="23">
        <v>0.4</v>
      </c>
      <c r="K211" s="18">
        <f t="shared" si="15"/>
        <v>2154</v>
      </c>
    </row>
    <row r="212" spans="2:11" x14ac:dyDescent="0.2">
      <c r="B212" s="6">
        <v>45902</v>
      </c>
      <c r="C212" s="19" t="s">
        <v>105</v>
      </c>
      <c r="D212" s="6" t="s">
        <v>106</v>
      </c>
      <c r="E212" s="6" t="s">
        <v>13</v>
      </c>
      <c r="F212" s="5" t="s">
        <v>107</v>
      </c>
      <c r="G212" s="7">
        <v>2275</v>
      </c>
      <c r="H212" s="6">
        <v>45905</v>
      </c>
      <c r="I212" s="15" t="s">
        <v>198</v>
      </c>
      <c r="J212" s="23">
        <v>0.4</v>
      </c>
      <c r="K212" s="18">
        <f t="shared" si="15"/>
        <v>910</v>
      </c>
    </row>
    <row r="213" spans="2:11" x14ac:dyDescent="0.2">
      <c r="B213" s="6">
        <v>45905</v>
      </c>
      <c r="C213" s="19" t="s">
        <v>24</v>
      </c>
      <c r="D213" s="6" t="s">
        <v>16</v>
      </c>
      <c r="E213" s="6" t="s">
        <v>13</v>
      </c>
      <c r="F213" s="5" t="s">
        <v>17</v>
      </c>
      <c r="G213" s="7">
        <v>3660</v>
      </c>
      <c r="H213" s="6">
        <v>45923</v>
      </c>
      <c r="I213" s="15">
        <v>849362</v>
      </c>
      <c r="J213" s="23">
        <v>0.4</v>
      </c>
      <c r="K213" s="18">
        <f t="shared" si="15"/>
        <v>1464</v>
      </c>
    </row>
    <row r="214" spans="2:11" x14ac:dyDescent="0.2">
      <c r="B214" s="6">
        <v>45905</v>
      </c>
      <c r="C214" s="19" t="s">
        <v>19</v>
      </c>
      <c r="D214" s="6" t="s">
        <v>16</v>
      </c>
      <c r="E214" s="6" t="s">
        <v>13</v>
      </c>
      <c r="F214" s="5" t="s">
        <v>17</v>
      </c>
      <c r="G214" s="7">
        <v>3800</v>
      </c>
      <c r="H214" s="6">
        <v>45911</v>
      </c>
      <c r="I214" s="15" t="s">
        <v>199</v>
      </c>
      <c r="J214" s="23">
        <v>0.4</v>
      </c>
      <c r="K214" s="18">
        <f t="shared" si="15"/>
        <v>1520</v>
      </c>
    </row>
    <row r="215" spans="2:11" x14ac:dyDescent="0.2">
      <c r="B215" s="6">
        <v>45905</v>
      </c>
      <c r="C215" s="19" t="s">
        <v>105</v>
      </c>
      <c r="D215" s="6" t="s">
        <v>106</v>
      </c>
      <c r="E215" s="6" t="s">
        <v>13</v>
      </c>
      <c r="F215" s="5" t="s">
        <v>107</v>
      </c>
      <c r="G215" s="7">
        <v>2725</v>
      </c>
      <c r="H215" s="6">
        <v>45911</v>
      </c>
      <c r="I215" s="15" t="s">
        <v>200</v>
      </c>
      <c r="J215" s="23">
        <v>0.4</v>
      </c>
      <c r="K215" s="18">
        <f t="shared" si="15"/>
        <v>1090</v>
      </c>
    </row>
    <row r="216" spans="2:11" x14ac:dyDescent="0.2">
      <c r="B216" s="6">
        <v>45907</v>
      </c>
      <c r="C216" s="19" t="s">
        <v>105</v>
      </c>
      <c r="D216" s="6" t="s">
        <v>106</v>
      </c>
      <c r="E216" s="6" t="s">
        <v>13</v>
      </c>
      <c r="F216" s="5" t="s">
        <v>107</v>
      </c>
      <c r="G216" s="7">
        <v>9900</v>
      </c>
      <c r="H216" s="6">
        <v>45911</v>
      </c>
      <c r="I216" s="15" t="s">
        <v>201</v>
      </c>
      <c r="J216" s="23">
        <v>0.4</v>
      </c>
      <c r="K216" s="18">
        <f t="shared" si="15"/>
        <v>3960</v>
      </c>
    </row>
    <row r="217" spans="2:11" x14ac:dyDescent="0.2">
      <c r="B217" s="6">
        <v>45909</v>
      </c>
      <c r="C217" s="19" t="s">
        <v>105</v>
      </c>
      <c r="D217" s="6" t="s">
        <v>106</v>
      </c>
      <c r="E217" s="6" t="s">
        <v>13</v>
      </c>
      <c r="F217" s="5" t="s">
        <v>107</v>
      </c>
      <c r="G217" s="7">
        <v>4650</v>
      </c>
      <c r="H217" s="6">
        <v>45916</v>
      </c>
      <c r="I217" s="15" t="s">
        <v>202</v>
      </c>
      <c r="J217" s="23">
        <v>0.4</v>
      </c>
      <c r="K217" s="18">
        <f t="shared" si="15"/>
        <v>1860</v>
      </c>
    </row>
    <row r="218" spans="2:11" x14ac:dyDescent="0.2">
      <c r="B218" s="6">
        <v>45909</v>
      </c>
      <c r="C218" s="19" t="s">
        <v>19</v>
      </c>
      <c r="D218" s="6" t="s">
        <v>20</v>
      </c>
      <c r="E218" s="6" t="s">
        <v>13</v>
      </c>
      <c r="F218" s="5" t="s">
        <v>22</v>
      </c>
      <c r="G218" s="7">
        <v>5540</v>
      </c>
      <c r="H218" s="6">
        <v>45912</v>
      </c>
      <c r="I218" s="15" t="s">
        <v>203</v>
      </c>
      <c r="J218" s="23">
        <v>0.4</v>
      </c>
      <c r="K218" s="18">
        <f t="shared" si="15"/>
        <v>2216</v>
      </c>
    </row>
    <row r="219" spans="2:11" x14ac:dyDescent="0.2">
      <c r="B219" s="6">
        <v>45910</v>
      </c>
      <c r="C219" s="19" t="s">
        <v>105</v>
      </c>
      <c r="D219" s="6" t="s">
        <v>106</v>
      </c>
      <c r="E219" s="6" t="s">
        <v>13</v>
      </c>
      <c r="F219" s="5" t="s">
        <v>107</v>
      </c>
      <c r="G219" s="7">
        <v>2725</v>
      </c>
      <c r="H219" s="6">
        <v>45923</v>
      </c>
      <c r="I219" s="15" t="s">
        <v>204</v>
      </c>
      <c r="J219" s="23">
        <v>0.4</v>
      </c>
      <c r="K219" s="18">
        <f t="shared" si="15"/>
        <v>1090</v>
      </c>
    </row>
    <row r="220" spans="2:11" x14ac:dyDescent="0.2">
      <c r="B220" s="6">
        <v>45911</v>
      </c>
      <c r="C220" s="19" t="s">
        <v>19</v>
      </c>
      <c r="D220" s="6" t="s">
        <v>20</v>
      </c>
      <c r="E220" s="6" t="s">
        <v>13</v>
      </c>
      <c r="F220" s="5" t="s">
        <v>21</v>
      </c>
      <c r="G220" s="7">
        <v>3330</v>
      </c>
      <c r="H220" s="6">
        <v>45918</v>
      </c>
      <c r="I220" s="15" t="s">
        <v>205</v>
      </c>
      <c r="J220" s="23">
        <v>0.4</v>
      </c>
      <c r="K220" s="18">
        <f t="shared" si="15"/>
        <v>1332</v>
      </c>
    </row>
    <row r="221" spans="2:11" x14ac:dyDescent="0.2">
      <c r="B221" s="6">
        <v>45911</v>
      </c>
      <c r="C221" s="19" t="s">
        <v>19</v>
      </c>
      <c r="D221" s="6" t="s">
        <v>20</v>
      </c>
      <c r="E221" s="6" t="s">
        <v>13</v>
      </c>
      <c r="F221" s="5" t="s">
        <v>21</v>
      </c>
      <c r="G221" s="7">
        <v>7045</v>
      </c>
      <c r="H221" s="6">
        <v>45918</v>
      </c>
      <c r="I221" s="15" t="s">
        <v>206</v>
      </c>
      <c r="J221" s="23">
        <v>0.4</v>
      </c>
      <c r="K221" s="18">
        <f t="shared" si="15"/>
        <v>2818</v>
      </c>
    </row>
    <row r="222" spans="2:11" x14ac:dyDescent="0.2">
      <c r="B222" s="6">
        <v>45914</v>
      </c>
      <c r="C222" s="19" t="s">
        <v>30</v>
      </c>
      <c r="D222" s="6" t="s">
        <v>16</v>
      </c>
      <c r="E222" s="6" t="s">
        <v>13</v>
      </c>
      <c r="F222" s="5" t="s">
        <v>17</v>
      </c>
      <c r="G222" s="7">
        <v>36369.32</v>
      </c>
      <c r="H222" s="6">
        <v>45918</v>
      </c>
      <c r="I222" s="15" t="s">
        <v>207</v>
      </c>
      <c r="J222" s="21">
        <v>0.5</v>
      </c>
      <c r="K222" s="18">
        <f t="shared" si="15"/>
        <v>18184.66</v>
      </c>
    </row>
    <row r="223" spans="2:11" x14ac:dyDescent="0.2">
      <c r="B223" s="6">
        <v>45914</v>
      </c>
      <c r="C223" s="19" t="s">
        <v>30</v>
      </c>
      <c r="D223" s="6" t="s">
        <v>16</v>
      </c>
      <c r="E223" s="6" t="s">
        <v>13</v>
      </c>
      <c r="F223" s="5" t="s">
        <v>17</v>
      </c>
      <c r="G223" s="7">
        <v>28130.07</v>
      </c>
      <c r="H223" s="6">
        <v>45918</v>
      </c>
      <c r="I223" s="15" t="s">
        <v>208</v>
      </c>
      <c r="J223" s="21">
        <v>0.5</v>
      </c>
      <c r="K223" s="18">
        <f t="shared" si="15"/>
        <v>14065.035</v>
      </c>
    </row>
    <row r="224" spans="2:11" x14ac:dyDescent="0.2">
      <c r="B224" s="6">
        <v>45915</v>
      </c>
      <c r="C224" s="19" t="s">
        <v>54</v>
      </c>
      <c r="D224" s="6" t="s">
        <v>55</v>
      </c>
      <c r="E224" s="6" t="s">
        <v>13</v>
      </c>
      <c r="F224" s="5" t="s">
        <v>56</v>
      </c>
      <c r="G224" s="7">
        <v>4560</v>
      </c>
      <c r="H224" s="6">
        <v>45918</v>
      </c>
      <c r="I224" s="15">
        <v>454364</v>
      </c>
      <c r="J224" s="23">
        <v>0.4</v>
      </c>
      <c r="K224" s="18">
        <f t="shared" si="15"/>
        <v>1824</v>
      </c>
    </row>
    <row r="225" spans="2:11" x14ac:dyDescent="0.2">
      <c r="B225" s="6">
        <v>45915</v>
      </c>
      <c r="C225" s="19" t="s">
        <v>54</v>
      </c>
      <c r="D225" s="6" t="s">
        <v>55</v>
      </c>
      <c r="E225" s="6" t="s">
        <v>13</v>
      </c>
      <c r="F225" s="5" t="s">
        <v>56</v>
      </c>
      <c r="G225" s="7">
        <v>9120</v>
      </c>
      <c r="H225" s="6">
        <v>45918</v>
      </c>
      <c r="I225" s="15">
        <v>454367</v>
      </c>
      <c r="J225" s="23">
        <v>0.4</v>
      </c>
      <c r="K225" s="18">
        <f t="shared" si="15"/>
        <v>3648</v>
      </c>
    </row>
    <row r="226" spans="2:11" x14ac:dyDescent="0.2">
      <c r="B226" s="6">
        <v>45915</v>
      </c>
      <c r="C226" s="19" t="s">
        <v>76</v>
      </c>
      <c r="D226" s="6" t="s">
        <v>16</v>
      </c>
      <c r="E226" s="6" t="s">
        <v>13</v>
      </c>
      <c r="F226" s="5" t="s">
        <v>29</v>
      </c>
      <c r="G226" s="7">
        <v>6885</v>
      </c>
      <c r="H226" s="6">
        <v>45936</v>
      </c>
      <c r="I226" s="15">
        <v>850562</v>
      </c>
      <c r="J226" s="23">
        <v>0.4</v>
      </c>
      <c r="K226" s="18">
        <f t="shared" si="15"/>
        <v>2754</v>
      </c>
    </row>
    <row r="227" spans="2:11" x14ac:dyDescent="0.2">
      <c r="B227" s="6">
        <v>45916</v>
      </c>
      <c r="C227" s="19" t="s">
        <v>105</v>
      </c>
      <c r="D227" s="6" t="s">
        <v>106</v>
      </c>
      <c r="E227" s="6" t="s">
        <v>13</v>
      </c>
      <c r="F227" s="5" t="s">
        <v>107</v>
      </c>
      <c r="G227" s="7">
        <v>2275</v>
      </c>
      <c r="H227" s="6">
        <v>45950</v>
      </c>
      <c r="I227" s="15" t="s">
        <v>224</v>
      </c>
      <c r="J227" s="23">
        <v>0.4</v>
      </c>
      <c r="K227" s="18">
        <f t="shared" si="15"/>
        <v>910</v>
      </c>
    </row>
    <row r="228" spans="2:11" x14ac:dyDescent="0.2">
      <c r="B228" s="6">
        <v>45917</v>
      </c>
      <c r="C228" s="19" t="s">
        <v>105</v>
      </c>
      <c r="D228" s="6" t="s">
        <v>106</v>
      </c>
      <c r="E228" s="6" t="s">
        <v>13</v>
      </c>
      <c r="F228" s="5" t="s">
        <v>107</v>
      </c>
      <c r="G228" s="7">
        <v>5475</v>
      </c>
      <c r="H228" s="6">
        <v>45936</v>
      </c>
      <c r="I228" s="15" t="s">
        <v>209</v>
      </c>
      <c r="J228" s="23">
        <v>0.4</v>
      </c>
      <c r="K228" s="18">
        <f t="shared" si="15"/>
        <v>2190</v>
      </c>
    </row>
    <row r="229" spans="2:11" x14ac:dyDescent="0.2">
      <c r="B229" s="6">
        <v>45917</v>
      </c>
      <c r="C229" s="19" t="s">
        <v>30</v>
      </c>
      <c r="D229" s="6" t="s">
        <v>16</v>
      </c>
      <c r="E229" s="6" t="s">
        <v>13</v>
      </c>
      <c r="F229" s="5" t="s">
        <v>71</v>
      </c>
      <c r="G229" s="7">
        <v>78194.78</v>
      </c>
      <c r="H229" s="6">
        <v>45923</v>
      </c>
      <c r="I229" s="15" t="s">
        <v>210</v>
      </c>
      <c r="J229" s="21">
        <v>0.5</v>
      </c>
      <c r="K229" s="18">
        <f t="shared" si="15"/>
        <v>39097.39</v>
      </c>
    </row>
    <row r="230" spans="2:11" x14ac:dyDescent="0.2">
      <c r="B230" s="6">
        <v>45918</v>
      </c>
      <c r="C230" s="19" t="s">
        <v>104</v>
      </c>
      <c r="D230" s="6" t="s">
        <v>16</v>
      </c>
      <c r="E230" s="6" t="s">
        <v>13</v>
      </c>
      <c r="F230" s="5" t="s">
        <v>29</v>
      </c>
      <c r="G230" s="7">
        <v>8112.2</v>
      </c>
      <c r="H230" s="6">
        <v>45936</v>
      </c>
      <c r="I230" s="15">
        <v>2263522</v>
      </c>
      <c r="J230" s="23">
        <v>0.4</v>
      </c>
      <c r="K230" s="18">
        <f t="shared" si="15"/>
        <v>3244.88</v>
      </c>
    </row>
    <row r="231" spans="2:11" x14ac:dyDescent="0.2">
      <c r="B231" s="6">
        <v>45918</v>
      </c>
      <c r="C231" s="19" t="s">
        <v>19</v>
      </c>
      <c r="D231" s="6" t="s">
        <v>20</v>
      </c>
      <c r="E231" s="6" t="s">
        <v>13</v>
      </c>
      <c r="F231" s="5" t="s">
        <v>21</v>
      </c>
      <c r="G231" s="7">
        <v>3425</v>
      </c>
      <c r="H231" s="6">
        <v>45933</v>
      </c>
      <c r="I231" s="15" t="s">
        <v>211</v>
      </c>
      <c r="J231" s="23">
        <v>0.4</v>
      </c>
      <c r="K231" s="18">
        <f t="shared" si="15"/>
        <v>1370</v>
      </c>
    </row>
    <row r="232" spans="2:11" x14ac:dyDescent="0.2">
      <c r="B232" s="6">
        <v>45918</v>
      </c>
      <c r="C232" s="19" t="s">
        <v>30</v>
      </c>
      <c r="D232" s="6" t="s">
        <v>16</v>
      </c>
      <c r="E232" s="6" t="s">
        <v>13</v>
      </c>
      <c r="F232" s="5" t="s">
        <v>17</v>
      </c>
      <c r="G232" s="7">
        <v>29850.240000000002</v>
      </c>
      <c r="H232" s="6">
        <v>45933</v>
      </c>
      <c r="I232" s="15" t="s">
        <v>212</v>
      </c>
      <c r="J232" s="21">
        <v>0.5</v>
      </c>
      <c r="K232" s="18">
        <f t="shared" si="15"/>
        <v>14925.12</v>
      </c>
    </row>
    <row r="233" spans="2:11" x14ac:dyDescent="0.2">
      <c r="B233" s="6">
        <v>45919</v>
      </c>
      <c r="C233" s="19" t="s">
        <v>24</v>
      </c>
      <c r="D233" s="6" t="s">
        <v>16</v>
      </c>
      <c r="E233" s="6" t="s">
        <v>13</v>
      </c>
      <c r="F233" s="5" t="s">
        <v>39</v>
      </c>
      <c r="G233" s="7">
        <v>4560</v>
      </c>
      <c r="H233" s="33"/>
      <c r="I233" s="34"/>
      <c r="J233" s="23">
        <v>0.4</v>
      </c>
      <c r="K233" s="35">
        <f t="shared" si="15"/>
        <v>0</v>
      </c>
    </row>
    <row r="234" spans="2:11" x14ac:dyDescent="0.2">
      <c r="B234" s="6">
        <v>45923</v>
      </c>
      <c r="C234" s="19" t="s">
        <v>105</v>
      </c>
      <c r="D234" s="6" t="s">
        <v>106</v>
      </c>
      <c r="E234" s="6" t="s">
        <v>13</v>
      </c>
      <c r="F234" s="5" t="s">
        <v>107</v>
      </c>
      <c r="G234" s="7">
        <v>5475</v>
      </c>
      <c r="H234" s="6">
        <v>45933</v>
      </c>
      <c r="I234" s="15" t="s">
        <v>213</v>
      </c>
      <c r="J234" s="23">
        <v>0.4</v>
      </c>
      <c r="K234" s="18">
        <f t="shared" si="15"/>
        <v>2190</v>
      </c>
    </row>
    <row r="235" spans="2:11" x14ac:dyDescent="0.2">
      <c r="B235" s="6">
        <v>45923</v>
      </c>
      <c r="C235" s="19" t="s">
        <v>105</v>
      </c>
      <c r="D235" s="6" t="s">
        <v>106</v>
      </c>
      <c r="E235" s="6" t="s">
        <v>13</v>
      </c>
      <c r="F235" s="5" t="s">
        <v>107</v>
      </c>
      <c r="G235" s="7">
        <v>1375</v>
      </c>
      <c r="H235" s="6">
        <v>45933</v>
      </c>
      <c r="I235" s="15" t="s">
        <v>214</v>
      </c>
      <c r="J235" s="23">
        <v>0.4</v>
      </c>
      <c r="K235" s="18">
        <f t="shared" si="15"/>
        <v>550</v>
      </c>
    </row>
    <row r="236" spans="2:11" x14ac:dyDescent="0.2">
      <c r="B236" s="6">
        <v>45923</v>
      </c>
      <c r="C236" s="19" t="s">
        <v>19</v>
      </c>
      <c r="D236" s="6" t="s">
        <v>20</v>
      </c>
      <c r="E236" s="6" t="s">
        <v>13</v>
      </c>
      <c r="F236" s="5" t="s">
        <v>21</v>
      </c>
      <c r="G236" s="7">
        <v>2775</v>
      </c>
      <c r="H236" s="6">
        <v>45936</v>
      </c>
      <c r="I236" s="15" t="s">
        <v>215</v>
      </c>
      <c r="J236" s="23">
        <v>0.4</v>
      </c>
      <c r="K236" s="18">
        <f t="shared" si="15"/>
        <v>1110</v>
      </c>
    </row>
    <row r="237" spans="2:11" x14ac:dyDescent="0.2">
      <c r="B237" s="6">
        <v>45924</v>
      </c>
      <c r="C237" s="19" t="s">
        <v>105</v>
      </c>
      <c r="D237" s="6" t="s">
        <v>106</v>
      </c>
      <c r="E237" s="6" t="s">
        <v>13</v>
      </c>
      <c r="F237" s="5" t="s">
        <v>107</v>
      </c>
      <c r="G237" s="7">
        <v>2275</v>
      </c>
      <c r="H237" s="6">
        <v>45936</v>
      </c>
      <c r="I237" s="15" t="s">
        <v>216</v>
      </c>
      <c r="J237" s="23">
        <v>0.4</v>
      </c>
      <c r="K237" s="18">
        <f t="shared" si="15"/>
        <v>910</v>
      </c>
    </row>
    <row r="238" spans="2:11" x14ac:dyDescent="0.2">
      <c r="B238" s="6">
        <v>45925</v>
      </c>
      <c r="C238" s="19" t="s">
        <v>105</v>
      </c>
      <c r="D238" s="6" t="s">
        <v>106</v>
      </c>
      <c r="E238" s="6" t="s">
        <v>13</v>
      </c>
      <c r="F238" s="5" t="s">
        <v>217</v>
      </c>
      <c r="G238" s="7">
        <v>1950</v>
      </c>
      <c r="H238" s="6">
        <v>45936</v>
      </c>
      <c r="I238" s="15" t="s">
        <v>218</v>
      </c>
      <c r="J238" s="23">
        <v>0.4</v>
      </c>
      <c r="K238" s="18">
        <f t="shared" si="15"/>
        <v>780</v>
      </c>
    </row>
    <row r="239" spans="2:11" x14ac:dyDescent="0.2">
      <c r="B239" s="6">
        <v>45925</v>
      </c>
      <c r="C239" s="19" t="s">
        <v>30</v>
      </c>
      <c r="D239" s="6" t="s">
        <v>16</v>
      </c>
      <c r="E239" s="6" t="s">
        <v>13</v>
      </c>
      <c r="F239" s="5" t="s">
        <v>17</v>
      </c>
      <c r="G239" s="7">
        <v>12961.96</v>
      </c>
      <c r="H239" s="6">
        <v>45936</v>
      </c>
      <c r="I239" s="15" t="s">
        <v>219</v>
      </c>
      <c r="J239" s="21">
        <v>0.5</v>
      </c>
      <c r="K239" s="18">
        <f t="shared" si="15"/>
        <v>6480.98</v>
      </c>
    </row>
    <row r="240" spans="2:11" x14ac:dyDescent="0.2">
      <c r="B240" s="6">
        <v>45926</v>
      </c>
      <c r="C240" s="19" t="s">
        <v>24</v>
      </c>
      <c r="D240" s="6" t="s">
        <v>16</v>
      </c>
      <c r="E240" s="6" t="s">
        <v>13</v>
      </c>
      <c r="F240" s="5" t="s">
        <v>17</v>
      </c>
      <c r="G240" s="7">
        <v>4385</v>
      </c>
      <c r="H240" s="6">
        <v>45936</v>
      </c>
      <c r="I240" s="15">
        <v>852824</v>
      </c>
      <c r="J240" s="23">
        <v>0.4</v>
      </c>
      <c r="K240" s="18">
        <f t="shared" si="15"/>
        <v>1754</v>
      </c>
    </row>
    <row r="241" spans="2:11" x14ac:dyDescent="0.2">
      <c r="B241" s="6">
        <v>45929</v>
      </c>
      <c r="C241" s="19" t="s">
        <v>30</v>
      </c>
      <c r="D241" s="6"/>
      <c r="E241" s="6" t="s">
        <v>120</v>
      </c>
      <c r="F241" s="5" t="s">
        <v>120</v>
      </c>
      <c r="G241" s="7">
        <v>1507.36</v>
      </c>
      <c r="H241" s="6">
        <v>45936</v>
      </c>
      <c r="I241" s="15" t="s">
        <v>220</v>
      </c>
      <c r="J241" s="21">
        <v>0.5</v>
      </c>
      <c r="K241" s="18">
        <f t="shared" si="15"/>
        <v>753.68</v>
      </c>
    </row>
    <row r="242" spans="2:11" x14ac:dyDescent="0.2">
      <c r="B242" s="6">
        <v>45929</v>
      </c>
      <c r="C242" s="19" t="s">
        <v>76</v>
      </c>
      <c r="D242" s="6" t="s">
        <v>16</v>
      </c>
      <c r="E242" s="6" t="s">
        <v>13</v>
      </c>
      <c r="F242" s="5" t="s">
        <v>29</v>
      </c>
      <c r="G242" s="7">
        <v>1325</v>
      </c>
      <c r="H242" s="6">
        <v>45939</v>
      </c>
      <c r="I242" s="15">
        <v>855936</v>
      </c>
      <c r="J242" s="23">
        <v>0.4</v>
      </c>
      <c r="K242" s="18">
        <f t="shared" si="15"/>
        <v>530</v>
      </c>
    </row>
    <row r="243" spans="2:11" x14ac:dyDescent="0.2">
      <c r="B243" s="6">
        <v>45930</v>
      </c>
      <c r="C243" s="19" t="s">
        <v>105</v>
      </c>
      <c r="D243" s="6" t="s">
        <v>106</v>
      </c>
      <c r="E243" s="6" t="s">
        <v>13</v>
      </c>
      <c r="F243" s="5" t="s">
        <v>107</v>
      </c>
      <c r="G243" s="7">
        <v>4650</v>
      </c>
      <c r="H243" s="6">
        <v>45936</v>
      </c>
      <c r="I243" s="15" t="s">
        <v>221</v>
      </c>
      <c r="J243" s="23">
        <v>0.4</v>
      </c>
      <c r="K243" s="18">
        <f t="shared" si="15"/>
        <v>1860</v>
      </c>
    </row>
    <row r="244" spans="2:11" x14ac:dyDescent="0.2">
      <c r="B244" s="6">
        <v>45930</v>
      </c>
      <c r="C244" s="19" t="s">
        <v>30</v>
      </c>
      <c r="D244" s="6" t="s">
        <v>16</v>
      </c>
      <c r="E244" s="6" t="s">
        <v>13</v>
      </c>
      <c r="F244" s="5" t="s">
        <v>17</v>
      </c>
      <c r="G244" s="7">
        <v>23421.64</v>
      </c>
      <c r="H244" s="6">
        <v>45936</v>
      </c>
      <c r="I244" s="15" t="s">
        <v>222</v>
      </c>
      <c r="J244" s="21">
        <v>0.5</v>
      </c>
      <c r="K244" s="18">
        <f t="shared" si="15"/>
        <v>11710.82</v>
      </c>
    </row>
    <row r="245" spans="2:11" ht="13.5" thickBot="1" x14ac:dyDescent="0.25">
      <c r="B245" s="6">
        <v>45930</v>
      </c>
      <c r="C245" s="19" t="s">
        <v>19</v>
      </c>
      <c r="D245" s="6" t="s">
        <v>20</v>
      </c>
      <c r="E245" s="6" t="s">
        <v>13</v>
      </c>
      <c r="F245" s="5" t="s">
        <v>21</v>
      </c>
      <c r="G245" s="7">
        <v>2775</v>
      </c>
      <c r="H245" s="6">
        <v>45936</v>
      </c>
      <c r="I245" s="15" t="s">
        <v>223</v>
      </c>
      <c r="J245" s="23">
        <v>0.4</v>
      </c>
      <c r="K245" s="18">
        <f t="shared" si="15"/>
        <v>1110</v>
      </c>
    </row>
    <row r="246" spans="2:11" ht="13.5" thickBot="1" x14ac:dyDescent="0.25">
      <c r="G246" s="2">
        <f>SUM(G207:G245)</f>
        <v>556328.83000000007</v>
      </c>
      <c r="K246" s="22">
        <f>SUM(K207:K245)</f>
        <v>263632.19500000001</v>
      </c>
    </row>
    <row r="247" spans="2:11" x14ac:dyDescent="0.2">
      <c r="D247" s="16"/>
      <c r="E247" s="3"/>
      <c r="F247" s="3"/>
      <c r="J247" s="17"/>
    </row>
  </sheetData>
  <hyperlinks>
    <hyperlink ref="K3" r:id="rId1" xr:uid="{59D06E3E-8E46-4FF7-BE24-8B4A53B76F72}"/>
  </hyperlinks>
  <printOptions horizontalCentered="1"/>
  <pageMargins left="0.25" right="0.25" top="0.75" bottom="0.5" header="0.3" footer="0.3"/>
  <pageSetup scale="49" fitToHeight="0" orientation="portrait" r:id="rId2"/>
  <rowBreaks count="2" manualBreakCount="2">
    <brk id="84" max="14" man="1"/>
    <brk id="17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aelsbury</dc:creator>
  <cp:lastModifiedBy>Matt Cole</cp:lastModifiedBy>
  <cp:lastPrinted>2025-08-19T17:22:37Z</cp:lastPrinted>
  <dcterms:created xsi:type="dcterms:W3CDTF">2010-10-18T19:46:39Z</dcterms:created>
  <dcterms:modified xsi:type="dcterms:W3CDTF">2025-10-23T13:54:35Z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