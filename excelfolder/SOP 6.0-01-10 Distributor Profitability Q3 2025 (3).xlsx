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xxtspinellc-my.sharepoint.com/personal/mcole_nexxtspine_com/Documents/Desktop/"/>
    </mc:Choice>
  </mc:AlternateContent>
  <xr:revisionPtr revIDLastSave="1" documentId="8_{BFDB9D0A-F7CD-4AF8-9597-CDEC85D96E6E}" xr6:coauthVersionLast="47" xr6:coauthVersionMax="47" xr10:uidLastSave="{B1D34CA2-A909-4C3F-8ABF-583487BD7D0D}"/>
  <bookViews>
    <workbookView xWindow="-120" yWindow="-120" windowWidth="29040" windowHeight="15720" xr2:uid="{00000000-000D-0000-FFFF-FFFF00000000}"/>
  </bookViews>
  <sheets>
    <sheet name="Q3 2025" sheetId="33" r:id="rId1"/>
  </sheets>
  <definedNames>
    <definedName name="_xlnm.Print_Area" localSheetId="0">'Q3 2025'!$B$1:$AH$191</definedName>
    <definedName name="_xlnm.Print_Titles" localSheetId="0">'Q3 2025'!$1:$4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33" l="1"/>
  <c r="V75" i="33"/>
  <c r="V15" i="33"/>
  <c r="V149" i="33"/>
  <c r="AF181" i="33"/>
  <c r="AF179" i="33"/>
  <c r="AF175" i="33"/>
  <c r="AF168" i="33"/>
  <c r="AF157" i="33"/>
  <c r="AF130" i="33"/>
  <c r="AF122" i="33"/>
  <c r="AF89" i="33"/>
  <c r="AF69" i="33"/>
  <c r="AF63" i="33"/>
  <c r="AF43" i="33"/>
  <c r="AF31" i="33"/>
  <c r="AF178" i="33"/>
  <c r="AF177" i="33"/>
  <c r="AF174" i="33"/>
  <c r="AF173" i="33"/>
  <c r="AF172" i="33"/>
  <c r="AF171" i="33"/>
  <c r="AF170" i="33"/>
  <c r="AF167" i="33"/>
  <c r="AF166" i="33"/>
  <c r="AF165" i="33"/>
  <c r="AF164" i="33"/>
  <c r="AF163" i="33"/>
  <c r="AF162" i="33"/>
  <c r="AF161" i="33"/>
  <c r="AF160" i="33"/>
  <c r="AF159" i="33"/>
  <c r="AF156" i="33"/>
  <c r="AF155" i="33"/>
  <c r="AF154" i="33"/>
  <c r="AF153" i="33"/>
  <c r="AF152" i="33"/>
  <c r="AF151" i="33"/>
  <c r="AF150" i="33"/>
  <c r="AF149" i="33"/>
  <c r="AF148" i="33"/>
  <c r="AF147" i="33"/>
  <c r="AF146" i="33"/>
  <c r="AF145" i="33"/>
  <c r="AF144" i="33"/>
  <c r="AF143" i="33"/>
  <c r="AF142" i="33"/>
  <c r="AF141" i="33"/>
  <c r="AF140" i="33"/>
  <c r="AF139" i="33"/>
  <c r="AF138" i="33"/>
  <c r="AF137" i="33"/>
  <c r="AF136" i="33"/>
  <c r="AF135" i="33"/>
  <c r="AF134" i="33"/>
  <c r="AF133" i="33"/>
  <c r="AF132" i="33"/>
  <c r="AF129" i="33"/>
  <c r="AF128" i="33"/>
  <c r="AF127" i="33"/>
  <c r="AF126" i="33"/>
  <c r="AF125" i="33"/>
  <c r="AF124" i="33"/>
  <c r="AF121" i="33"/>
  <c r="AF120" i="33"/>
  <c r="AF119" i="33"/>
  <c r="AF118" i="33"/>
  <c r="AF117" i="33"/>
  <c r="AF116" i="33"/>
  <c r="AF115" i="33"/>
  <c r="AF114" i="33"/>
  <c r="AF113" i="33"/>
  <c r="AF112" i="33"/>
  <c r="AF111" i="33"/>
  <c r="AF110" i="33"/>
  <c r="AF109" i="33"/>
  <c r="AF108" i="33"/>
  <c r="AF107" i="33"/>
  <c r="AF106" i="33"/>
  <c r="AF105" i="33"/>
  <c r="AF104" i="33"/>
  <c r="AF103" i="33"/>
  <c r="AF102" i="33"/>
  <c r="AF101" i="33"/>
  <c r="AF100" i="33"/>
  <c r="AF99" i="33"/>
  <c r="AF98" i="33"/>
  <c r="AF97" i="33"/>
  <c r="AF96" i="33"/>
  <c r="AF95" i="33"/>
  <c r="AF94" i="33"/>
  <c r="AF93" i="33"/>
  <c r="AF92" i="33"/>
  <c r="AF91" i="33"/>
  <c r="AF88" i="33"/>
  <c r="AF87" i="33"/>
  <c r="AF86" i="33"/>
  <c r="AF85" i="33"/>
  <c r="AF84" i="33"/>
  <c r="AF83" i="33"/>
  <c r="AF82" i="33"/>
  <c r="AF81" i="33"/>
  <c r="AF80" i="33"/>
  <c r="AF79" i="33"/>
  <c r="AF78" i="33"/>
  <c r="AF77" i="33"/>
  <c r="AF76" i="33"/>
  <c r="AF75" i="33"/>
  <c r="AF74" i="33"/>
  <c r="AF73" i="33"/>
  <c r="AF72" i="33"/>
  <c r="AF71" i="33"/>
  <c r="AF68" i="33"/>
  <c r="AF67" i="33"/>
  <c r="AF66" i="33"/>
  <c r="AF65" i="33"/>
  <c r="AF62" i="33"/>
  <c r="AF61" i="33"/>
  <c r="AF60" i="33"/>
  <c r="AF59" i="33"/>
  <c r="AF58" i="33"/>
  <c r="AF57" i="33"/>
  <c r="AF56" i="33"/>
  <c r="AF55" i="33"/>
  <c r="AF54" i="33"/>
  <c r="AF53" i="33"/>
  <c r="AF52" i="33"/>
  <c r="AF51" i="33"/>
  <c r="AF50" i="33"/>
  <c r="AF49" i="33"/>
  <c r="AF48" i="33"/>
  <c r="AF47" i="33"/>
  <c r="AF46" i="33"/>
  <c r="AF45" i="33"/>
  <c r="AF42" i="33"/>
  <c r="AF41" i="33"/>
  <c r="AF40" i="33"/>
  <c r="AF39" i="33"/>
  <c r="AF38" i="33"/>
  <c r="AF37" i="33"/>
  <c r="AF36" i="33"/>
  <c r="AF35" i="33"/>
  <c r="AF34" i="33"/>
  <c r="AF33" i="33"/>
  <c r="AE129" i="33"/>
  <c r="AE128" i="33"/>
  <c r="AE127" i="33"/>
  <c r="AE126" i="33"/>
  <c r="AE125" i="33"/>
  <c r="AE124" i="33"/>
  <c r="AE121" i="33"/>
  <c r="AE120" i="33"/>
  <c r="AE119" i="33"/>
  <c r="AE118" i="33"/>
  <c r="AE117" i="33"/>
  <c r="AE116" i="33"/>
  <c r="AE115" i="33"/>
  <c r="AE114" i="33"/>
  <c r="AE113" i="33"/>
  <c r="AE112" i="33"/>
  <c r="AE111" i="33"/>
  <c r="AE110" i="33"/>
  <c r="AE109" i="33"/>
  <c r="AE108" i="33"/>
  <c r="AE107" i="33"/>
  <c r="AE106" i="33"/>
  <c r="AE105" i="33"/>
  <c r="AE104" i="33"/>
  <c r="AE103" i="33"/>
  <c r="AE102" i="33"/>
  <c r="AE101" i="33"/>
  <c r="AE100" i="33"/>
  <c r="AE99" i="33"/>
  <c r="AE98" i="33"/>
  <c r="AE97" i="33"/>
  <c r="AE96" i="33"/>
  <c r="AE95" i="33"/>
  <c r="AE94" i="33"/>
  <c r="AE93" i="33"/>
  <c r="AE92" i="33"/>
  <c r="AE91" i="33"/>
  <c r="AE88" i="33"/>
  <c r="AE87" i="33"/>
  <c r="AE86" i="33"/>
  <c r="AE85" i="33"/>
  <c r="AE84" i="33"/>
  <c r="AE83" i="33"/>
  <c r="AE82" i="33"/>
  <c r="AE81" i="33"/>
  <c r="AE80" i="33"/>
  <c r="AE79" i="33"/>
  <c r="AE78" i="33"/>
  <c r="AE77" i="33"/>
  <c r="AE76" i="33"/>
  <c r="AE75" i="33"/>
  <c r="AE74" i="33"/>
  <c r="AE73" i="33"/>
  <c r="AE89" i="33" s="1"/>
  <c r="AE72" i="33"/>
  <c r="AE71" i="33"/>
  <c r="AE68" i="33"/>
  <c r="AE67" i="33"/>
  <c r="AE66" i="33"/>
  <c r="AE65" i="33"/>
  <c r="AE62" i="33"/>
  <c r="AE61" i="33"/>
  <c r="AE60" i="33"/>
  <c r="AE59" i="33"/>
  <c r="AE58" i="33"/>
  <c r="AE57" i="33"/>
  <c r="AE56" i="33"/>
  <c r="AE55" i="33"/>
  <c r="AE54" i="33"/>
  <c r="AE53" i="33"/>
  <c r="AE52" i="33"/>
  <c r="AE51" i="33"/>
  <c r="AE50" i="33"/>
  <c r="AE49" i="33"/>
  <c r="AE48" i="33"/>
  <c r="AE47" i="33"/>
  <c r="AE46" i="33"/>
  <c r="AE45" i="33"/>
  <c r="AE42" i="33"/>
  <c r="AE41" i="33"/>
  <c r="AE40" i="33"/>
  <c r="AE39" i="33"/>
  <c r="AE38" i="33"/>
  <c r="AE37" i="33"/>
  <c r="AE36" i="33"/>
  <c r="AE35" i="33"/>
  <c r="AE34" i="33"/>
  <c r="AE33" i="33"/>
  <c r="AF30" i="33"/>
  <c r="AF29" i="33"/>
  <c r="AF28" i="33"/>
  <c r="AF27" i="33"/>
  <c r="AF26" i="33"/>
  <c r="AF25" i="33"/>
  <c r="AF24" i="33"/>
  <c r="AF23" i="33"/>
  <c r="AF22" i="33"/>
  <c r="AF21" i="33"/>
  <c r="AF20" i="33"/>
  <c r="AF19" i="33"/>
  <c r="AF18" i="33"/>
  <c r="AF17" i="33"/>
  <c r="AF16" i="33"/>
  <c r="AF15" i="33"/>
  <c r="AF14" i="33"/>
  <c r="AF13" i="33"/>
  <c r="AF12" i="33"/>
  <c r="AF11" i="33"/>
  <c r="AF10" i="33"/>
  <c r="AF9" i="33"/>
  <c r="AF8" i="33"/>
  <c r="AF7" i="33"/>
  <c r="AF6" i="33"/>
  <c r="AF5" i="33"/>
  <c r="Y180" i="33"/>
  <c r="S180" i="33"/>
  <c r="R180" i="33"/>
  <c r="O180" i="33"/>
  <c r="L180" i="33"/>
  <c r="K180" i="33"/>
  <c r="H180" i="33"/>
  <c r="AG179" i="33"/>
  <c r="AE179" i="33"/>
  <c r="AC179" i="33"/>
  <c r="AG175" i="33"/>
  <c r="AE175" i="33"/>
  <c r="AC175" i="33"/>
  <c r="AG168" i="33"/>
  <c r="AE168" i="33"/>
  <c r="AC168" i="33"/>
  <c r="AE157" i="33"/>
  <c r="AG130" i="33"/>
  <c r="AC130" i="33"/>
  <c r="AG178" i="33"/>
  <c r="AE178" i="33"/>
  <c r="AC178" i="33"/>
  <c r="AG177" i="33"/>
  <c r="AE177" i="33"/>
  <c r="AC177" i="33"/>
  <c r="AG174" i="33"/>
  <c r="AE174" i="33"/>
  <c r="AC174" i="33"/>
  <c r="AG173" i="33"/>
  <c r="AE173" i="33"/>
  <c r="AC173" i="33"/>
  <c r="AG172" i="33"/>
  <c r="AE172" i="33"/>
  <c r="AC172" i="33"/>
  <c r="AG171" i="33"/>
  <c r="AE171" i="33"/>
  <c r="AC171" i="33"/>
  <c r="AG170" i="33"/>
  <c r="AE170" i="33"/>
  <c r="AC170" i="33"/>
  <c r="AG167" i="33"/>
  <c r="AE167" i="33"/>
  <c r="AC167" i="33"/>
  <c r="AG166" i="33"/>
  <c r="AE166" i="33"/>
  <c r="AC166" i="33"/>
  <c r="AG165" i="33"/>
  <c r="AE165" i="33"/>
  <c r="AC165" i="33"/>
  <c r="AG164" i="33"/>
  <c r="AE164" i="33"/>
  <c r="AC164" i="33"/>
  <c r="AG163" i="33"/>
  <c r="AE163" i="33"/>
  <c r="AC163" i="33"/>
  <c r="AG162" i="33"/>
  <c r="AE162" i="33"/>
  <c r="AC162" i="33"/>
  <c r="AG161" i="33"/>
  <c r="AE161" i="33"/>
  <c r="AC161" i="33"/>
  <c r="AG160" i="33"/>
  <c r="AE160" i="33"/>
  <c r="AC160" i="33"/>
  <c r="AG159" i="33"/>
  <c r="AE159" i="33"/>
  <c r="AC159" i="33"/>
  <c r="AG156" i="33"/>
  <c r="AE156" i="33"/>
  <c r="AC156" i="33"/>
  <c r="AG155" i="33"/>
  <c r="AE155" i="33"/>
  <c r="AC155" i="33"/>
  <c r="AG154" i="33"/>
  <c r="AE154" i="33"/>
  <c r="AC154" i="33"/>
  <c r="AG153" i="33"/>
  <c r="AE153" i="33"/>
  <c r="AC153" i="33"/>
  <c r="AG152" i="33"/>
  <c r="AE152" i="33"/>
  <c r="AC152" i="33"/>
  <c r="AG151" i="33"/>
  <c r="AE151" i="33"/>
  <c r="AC151" i="33"/>
  <c r="AG150" i="33"/>
  <c r="AE150" i="33"/>
  <c r="AC150" i="33"/>
  <c r="AE149" i="33"/>
  <c r="AC149" i="33"/>
  <c r="AC157" i="33" s="1"/>
  <c r="AG148" i="33"/>
  <c r="AE148" i="33"/>
  <c r="AC148" i="33"/>
  <c r="AG147" i="33"/>
  <c r="AE147" i="33"/>
  <c r="AC147" i="33"/>
  <c r="AG146" i="33"/>
  <c r="AE146" i="33"/>
  <c r="AC146" i="33"/>
  <c r="AG145" i="33"/>
  <c r="AE145" i="33"/>
  <c r="AC145" i="33"/>
  <c r="AG144" i="33"/>
  <c r="AE144" i="33"/>
  <c r="AC144" i="33"/>
  <c r="AG143" i="33"/>
  <c r="AE143" i="33"/>
  <c r="AC143" i="33"/>
  <c r="AG142" i="33"/>
  <c r="AE142" i="33"/>
  <c r="AC142" i="33"/>
  <c r="AG141" i="33"/>
  <c r="AE141" i="33"/>
  <c r="AC141" i="33"/>
  <c r="AG140" i="33"/>
  <c r="AE140" i="33"/>
  <c r="AC140" i="33"/>
  <c r="AG139" i="33"/>
  <c r="AE139" i="33"/>
  <c r="AC139" i="33"/>
  <c r="AG138" i="33"/>
  <c r="AE138" i="33"/>
  <c r="AC138" i="33"/>
  <c r="AG137" i="33"/>
  <c r="AE137" i="33"/>
  <c r="AC137" i="33"/>
  <c r="AG136" i="33"/>
  <c r="AE136" i="33"/>
  <c r="AC136" i="33"/>
  <c r="AG135" i="33"/>
  <c r="AE135" i="33"/>
  <c r="AC135" i="33"/>
  <c r="AG134" i="33"/>
  <c r="AE134" i="33"/>
  <c r="AC134" i="33"/>
  <c r="AG133" i="33"/>
  <c r="AE133" i="33"/>
  <c r="AC133" i="33"/>
  <c r="AG132" i="33"/>
  <c r="AE132" i="33"/>
  <c r="AC132" i="33"/>
  <c r="AG129" i="33"/>
  <c r="AC129" i="33"/>
  <c r="AG128" i="33"/>
  <c r="AC128" i="33"/>
  <c r="AG127" i="33"/>
  <c r="AC127" i="33"/>
  <c r="AG126" i="33"/>
  <c r="AC126" i="33"/>
  <c r="AG125" i="33"/>
  <c r="AC125" i="33"/>
  <c r="AG124" i="33"/>
  <c r="AC124" i="33"/>
  <c r="AG122" i="33"/>
  <c r="AE122" i="33"/>
  <c r="AC122" i="33"/>
  <c r="AG121" i="33"/>
  <c r="AC121" i="33"/>
  <c r="AG120" i="33"/>
  <c r="AC120" i="33"/>
  <c r="AG119" i="33"/>
  <c r="AC119" i="33"/>
  <c r="AG118" i="33"/>
  <c r="AC118" i="33"/>
  <c r="AG117" i="33"/>
  <c r="AC117" i="33"/>
  <c r="AG116" i="33"/>
  <c r="AC116" i="33"/>
  <c r="AG115" i="33"/>
  <c r="AC115" i="33"/>
  <c r="AG114" i="33"/>
  <c r="AC114" i="33"/>
  <c r="AG113" i="33"/>
  <c r="AC113" i="33"/>
  <c r="AG112" i="33"/>
  <c r="AC112" i="33"/>
  <c r="AG111" i="33"/>
  <c r="AC111" i="33"/>
  <c r="AG110" i="33"/>
  <c r="AC110" i="33"/>
  <c r="AG109" i="33"/>
  <c r="AC109" i="33"/>
  <c r="AG108" i="33"/>
  <c r="AC108" i="33"/>
  <c r="AG107" i="33"/>
  <c r="AC107" i="33"/>
  <c r="AG106" i="33"/>
  <c r="AC106" i="33"/>
  <c r="AG105" i="33"/>
  <c r="AC105" i="33"/>
  <c r="AG104" i="33"/>
  <c r="AC104" i="33"/>
  <c r="AG103" i="33"/>
  <c r="AC103" i="33"/>
  <c r="AG102" i="33"/>
  <c r="AC102" i="33"/>
  <c r="AG101" i="33"/>
  <c r="AC101" i="33"/>
  <c r="AG100" i="33"/>
  <c r="AC100" i="33"/>
  <c r="AG99" i="33"/>
  <c r="AC99" i="33"/>
  <c r="AG98" i="33"/>
  <c r="AC98" i="33"/>
  <c r="AG97" i="33"/>
  <c r="AC97" i="33"/>
  <c r="AG96" i="33"/>
  <c r="AC96" i="33"/>
  <c r="AG95" i="33"/>
  <c r="AC95" i="33"/>
  <c r="AG94" i="33"/>
  <c r="AC94" i="33"/>
  <c r="AG93" i="33"/>
  <c r="AC93" i="33"/>
  <c r="AG92" i="33"/>
  <c r="AC92" i="33"/>
  <c r="AG91" i="33"/>
  <c r="AC91" i="33"/>
  <c r="AC89" i="33"/>
  <c r="AG88" i="33"/>
  <c r="AC88" i="33"/>
  <c r="AG87" i="33"/>
  <c r="AC87" i="33"/>
  <c r="AG86" i="33"/>
  <c r="AC86" i="33"/>
  <c r="AG85" i="33"/>
  <c r="AC85" i="33"/>
  <c r="AG84" i="33"/>
  <c r="AC84" i="33"/>
  <c r="AG83" i="33"/>
  <c r="AC83" i="33"/>
  <c r="AG82" i="33"/>
  <c r="AC82" i="33"/>
  <c r="AG81" i="33"/>
  <c r="AC81" i="33"/>
  <c r="AG80" i="33"/>
  <c r="AC80" i="33"/>
  <c r="AG79" i="33"/>
  <c r="AC79" i="33"/>
  <c r="AG78" i="33"/>
  <c r="AC78" i="33"/>
  <c r="AG77" i="33"/>
  <c r="AC77" i="33"/>
  <c r="AG76" i="33"/>
  <c r="AC76" i="33"/>
  <c r="AC75" i="33"/>
  <c r="AG74" i="33"/>
  <c r="AC74" i="33"/>
  <c r="AG73" i="33"/>
  <c r="AC73" i="33"/>
  <c r="AG72" i="33"/>
  <c r="AC72" i="33"/>
  <c r="AG71" i="33"/>
  <c r="AC71" i="33"/>
  <c r="AG68" i="33"/>
  <c r="AC68" i="33"/>
  <c r="AG67" i="33"/>
  <c r="AC67" i="33"/>
  <c r="AG66" i="33"/>
  <c r="AC66" i="33"/>
  <c r="AG65" i="33"/>
  <c r="AG69" i="33" s="1"/>
  <c r="AC65" i="33"/>
  <c r="AC69" i="33" s="1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63" i="33" s="1"/>
  <c r="AG42" i="33"/>
  <c r="AC42" i="33"/>
  <c r="AG41" i="33"/>
  <c r="AC41" i="33"/>
  <c r="AG40" i="33"/>
  <c r="AC40" i="33"/>
  <c r="AC39" i="33"/>
  <c r="AC38" i="33"/>
  <c r="AG37" i="33"/>
  <c r="AC37" i="33"/>
  <c r="AC36" i="33"/>
  <c r="AC35" i="33"/>
  <c r="AG34" i="33"/>
  <c r="AC34" i="33"/>
  <c r="AG33" i="33"/>
  <c r="AC33" i="33"/>
  <c r="AE30" i="33"/>
  <c r="AC30" i="33"/>
  <c r="AE29" i="33"/>
  <c r="AC29" i="33"/>
  <c r="AE28" i="33"/>
  <c r="AC28" i="33"/>
  <c r="AE27" i="33"/>
  <c r="AC27" i="33"/>
  <c r="AE26" i="33"/>
  <c r="AC26" i="33"/>
  <c r="AE25" i="33"/>
  <c r="AC25" i="33"/>
  <c r="AE24" i="33"/>
  <c r="AC24" i="33"/>
  <c r="AE23" i="33"/>
  <c r="AC23" i="33"/>
  <c r="AE22" i="33"/>
  <c r="AC22" i="33"/>
  <c r="AE21" i="33"/>
  <c r="AC21" i="33"/>
  <c r="AG20" i="33"/>
  <c r="AE20" i="33"/>
  <c r="AC20" i="33"/>
  <c r="AE19" i="33"/>
  <c r="AC19" i="33"/>
  <c r="AE18" i="33"/>
  <c r="AC18" i="33"/>
  <c r="AE17" i="33"/>
  <c r="AC17" i="33"/>
  <c r="AE16" i="33"/>
  <c r="AC16" i="33"/>
  <c r="AE15" i="33"/>
  <c r="AC15" i="33"/>
  <c r="AG14" i="33"/>
  <c r="AE14" i="33"/>
  <c r="AC14" i="33"/>
  <c r="AE13" i="33"/>
  <c r="AC13" i="33"/>
  <c r="AE12" i="33"/>
  <c r="AC12" i="33"/>
  <c r="AG11" i="33"/>
  <c r="AE11" i="33"/>
  <c r="AC11" i="33"/>
  <c r="AE10" i="33"/>
  <c r="AC10" i="33"/>
  <c r="AE9" i="33"/>
  <c r="AC9" i="33"/>
  <c r="AE8" i="33"/>
  <c r="AC8" i="33"/>
  <c r="AE7" i="33"/>
  <c r="AC7" i="33"/>
  <c r="AE6" i="33"/>
  <c r="AC6" i="33"/>
  <c r="AE5" i="33"/>
  <c r="AC5" i="33"/>
  <c r="W178" i="33"/>
  <c r="Y178" i="33"/>
  <c r="Z178" i="33"/>
  <c r="Z156" i="33"/>
  <c r="Z150" i="33"/>
  <c r="Z141" i="33"/>
  <c r="AC185" i="33" l="1"/>
  <c r="AA178" i="33"/>
  <c r="AE130" i="33"/>
  <c r="AC43" i="33"/>
  <c r="AE63" i="33"/>
  <c r="AC31" i="33"/>
  <c r="AC180" i="33" s="1"/>
  <c r="AE69" i="33"/>
  <c r="AE31" i="33"/>
  <c r="AE43" i="33"/>
  <c r="Z120" i="33"/>
  <c r="Z108" i="33"/>
  <c r="Z106" i="33"/>
  <c r="Z105" i="33"/>
  <c r="Z104" i="33"/>
  <c r="Z96" i="33"/>
  <c r="L88" i="33"/>
  <c r="Z88" i="33"/>
  <c r="Z26" i="33"/>
  <c r="Z16" i="33"/>
  <c r="Z15" i="33"/>
  <c r="Z10" i="33"/>
  <c r="AG10" i="33" s="1"/>
  <c r="AE185" i="33" l="1"/>
  <c r="AF180" i="33" l="1"/>
  <c r="AF185" i="33"/>
  <c r="Y29" i="33" l="1"/>
  <c r="AB29" i="33"/>
  <c r="U29" i="33"/>
  <c r="S29" i="33"/>
  <c r="R29" i="33"/>
  <c r="P29" i="33"/>
  <c r="N29" i="33"/>
  <c r="L29" i="33"/>
  <c r="K29" i="33"/>
  <c r="I29" i="33"/>
  <c r="Y28" i="33"/>
  <c r="AB28" i="33"/>
  <c r="U28" i="33"/>
  <c r="S28" i="33"/>
  <c r="R28" i="33"/>
  <c r="P28" i="33"/>
  <c r="N28" i="33"/>
  <c r="L28" i="33"/>
  <c r="K28" i="33"/>
  <c r="I28" i="33"/>
  <c r="L156" i="33"/>
  <c r="S156" i="33"/>
  <c r="S155" i="33"/>
  <c r="Y155" i="33"/>
  <c r="AB155" i="33"/>
  <c r="U155" i="33"/>
  <c r="R155" i="33"/>
  <c r="P155" i="33"/>
  <c r="N155" i="33"/>
  <c r="L155" i="33"/>
  <c r="K155" i="33"/>
  <c r="I155" i="33"/>
  <c r="AD155" i="33" s="1"/>
  <c r="AH155" i="33" s="1"/>
  <c r="M28" i="33" l="1"/>
  <c r="M29" i="33"/>
  <c r="T29" i="33"/>
  <c r="M155" i="33"/>
  <c r="T28" i="33"/>
  <c r="W29" i="33"/>
  <c r="AD29" i="33" s="1"/>
  <c r="Z29" i="33"/>
  <c r="AG29" i="33" s="1"/>
  <c r="T155" i="33"/>
  <c r="W28" i="33"/>
  <c r="AD28" i="33" s="1"/>
  <c r="Z155" i="33"/>
  <c r="AA155" i="33" s="1"/>
  <c r="Z28" i="33"/>
  <c r="AA28" i="33" s="1"/>
  <c r="W155" i="33"/>
  <c r="AH29" i="33" l="1"/>
  <c r="AG28" i="33"/>
  <c r="AH28" i="33" s="1"/>
  <c r="AA29" i="33"/>
  <c r="W129" i="33" l="1"/>
  <c r="W128" i="33"/>
  <c r="W127" i="33"/>
  <c r="W126" i="33"/>
  <c r="W125" i="33"/>
  <c r="AB87" i="33" l="1"/>
  <c r="W87" i="33"/>
  <c r="U87" i="33"/>
  <c r="R87" i="33"/>
  <c r="P87" i="33"/>
  <c r="N87" i="33"/>
  <c r="K87" i="33"/>
  <c r="I87" i="33"/>
  <c r="AD87" i="33" l="1"/>
  <c r="AH87" i="33" s="1"/>
  <c r="T87" i="33"/>
  <c r="M87" i="33"/>
  <c r="Y87" i="33"/>
  <c r="AA87" i="33" s="1"/>
  <c r="S150" i="33" l="1"/>
  <c r="S120" i="33"/>
  <c r="Z115" i="33"/>
  <c r="S115" i="33"/>
  <c r="S108" i="33"/>
  <c r="S105" i="33"/>
  <c r="S104" i="33"/>
  <c r="S47" i="33"/>
  <c r="AG47" i="33" s="1"/>
  <c r="S17" i="33"/>
  <c r="S16" i="33"/>
  <c r="U178" i="33"/>
  <c r="S178" i="33"/>
  <c r="R178" i="33"/>
  <c r="P178" i="33"/>
  <c r="AD178" i="33" s="1"/>
  <c r="AH178" i="33" s="1"/>
  <c r="T178" i="33" l="1"/>
  <c r="U128" i="33" l="1"/>
  <c r="S121" i="33"/>
  <c r="P120" i="33"/>
  <c r="S62" i="33"/>
  <c r="U61" i="33"/>
  <c r="S61" i="33" s="1"/>
  <c r="Z121" i="33"/>
  <c r="L121" i="33"/>
  <c r="AB120" i="33"/>
  <c r="Y120" i="33"/>
  <c r="W120" i="33"/>
  <c r="R120" i="33"/>
  <c r="N120" i="33"/>
  <c r="K120" i="33"/>
  <c r="I120" i="33"/>
  <c r="AD120" i="33" s="1"/>
  <c r="AH120" i="33" s="1"/>
  <c r="AB128" i="33"/>
  <c r="Y128" i="33"/>
  <c r="R128" i="33"/>
  <c r="N128" i="33"/>
  <c r="K128" i="33"/>
  <c r="I128" i="33"/>
  <c r="AB119" i="33"/>
  <c r="Z119" i="33"/>
  <c r="Y119" i="33"/>
  <c r="W119" i="33"/>
  <c r="U119" i="33"/>
  <c r="S119" i="33"/>
  <c r="R119" i="33"/>
  <c r="P119" i="33"/>
  <c r="N119" i="33"/>
  <c r="L119" i="33"/>
  <c r="K119" i="33"/>
  <c r="I119" i="33"/>
  <c r="AD119" i="33" s="1"/>
  <c r="AH119" i="33" s="1"/>
  <c r="Z62" i="33"/>
  <c r="L62" i="33"/>
  <c r="AB61" i="33"/>
  <c r="Z61" i="33" s="1"/>
  <c r="Y61" i="33"/>
  <c r="W61" i="33"/>
  <c r="N61" i="33"/>
  <c r="L61" i="33" s="1"/>
  <c r="AG61" i="33" s="1"/>
  <c r="K61" i="33"/>
  <c r="I61" i="33"/>
  <c r="AD128" i="33" l="1"/>
  <c r="AH128" i="33" s="1"/>
  <c r="AG62" i="33"/>
  <c r="U120" i="33"/>
  <c r="AA119" i="33"/>
  <c r="M120" i="33"/>
  <c r="AA120" i="33"/>
  <c r="M128" i="33"/>
  <c r="P128" i="33"/>
  <c r="T128" i="33" s="1"/>
  <c r="T120" i="33"/>
  <c r="P61" i="33"/>
  <c r="AD61" i="33" s="1"/>
  <c r="AH61" i="33" s="1"/>
  <c r="T119" i="33"/>
  <c r="M119" i="33"/>
  <c r="AA128" i="33"/>
  <c r="M61" i="33"/>
  <c r="AA61" i="33"/>
  <c r="R61" i="33" l="1"/>
  <c r="T61" i="33" s="1"/>
  <c r="L150" i="33" l="1"/>
  <c r="L108" i="33"/>
  <c r="L105" i="33"/>
  <c r="L104" i="33"/>
  <c r="L38" i="33"/>
  <c r="AG38" i="33" s="1"/>
  <c r="L36" i="33"/>
  <c r="AG36" i="33" s="1"/>
  <c r="L35" i="33"/>
  <c r="AG35" i="33" s="1"/>
  <c r="L26" i="33"/>
  <c r="AG26" i="33" s="1"/>
  <c r="L17" i="33"/>
  <c r="AG17" i="33" s="1"/>
  <c r="L16" i="33"/>
  <c r="AG16" i="33" s="1"/>
  <c r="L15" i="33"/>
  <c r="AG15" i="33" s="1"/>
  <c r="AG31" i="33" s="1"/>
  <c r="AB154" i="33" l="1"/>
  <c r="Z154" i="33"/>
  <c r="Y154" i="33"/>
  <c r="W154" i="33"/>
  <c r="U154" i="33"/>
  <c r="S154" i="33"/>
  <c r="R154" i="33"/>
  <c r="P154" i="33"/>
  <c r="N154" i="33"/>
  <c r="L154" i="33"/>
  <c r="K154" i="33"/>
  <c r="I154" i="33"/>
  <c r="AD154" i="33" s="1"/>
  <c r="AH154" i="33" s="1"/>
  <c r="AB27" i="33"/>
  <c r="Z27" i="33"/>
  <c r="Y27" i="33"/>
  <c r="W27" i="33"/>
  <c r="U27" i="33"/>
  <c r="S27" i="33"/>
  <c r="R27" i="33"/>
  <c r="P27" i="33"/>
  <c r="N27" i="33"/>
  <c r="L27" i="33"/>
  <c r="K27" i="33"/>
  <c r="I27" i="33"/>
  <c r="AD27" i="33" l="1"/>
  <c r="AH27" i="33" s="1"/>
  <c r="AG27" i="33"/>
  <c r="T154" i="33"/>
  <c r="AA154" i="33"/>
  <c r="M154" i="33"/>
  <c r="AA27" i="33"/>
  <c r="M27" i="33"/>
  <c r="T27" i="33"/>
  <c r="AB153" i="33" l="1"/>
  <c r="Z153" i="33"/>
  <c r="Y153" i="33"/>
  <c r="W153" i="33"/>
  <c r="U153" i="33"/>
  <c r="S153" i="33"/>
  <c r="R153" i="33"/>
  <c r="P153" i="33"/>
  <c r="N153" i="33"/>
  <c r="L153" i="33"/>
  <c r="K153" i="33"/>
  <c r="I153" i="33"/>
  <c r="AD153" i="33" s="1"/>
  <c r="AH153" i="33" s="1"/>
  <c r="AB118" i="33"/>
  <c r="Z118" i="33"/>
  <c r="Y118" i="33"/>
  <c r="W118" i="33"/>
  <c r="U118" i="33"/>
  <c r="S118" i="33"/>
  <c r="R118" i="33"/>
  <c r="P118" i="33"/>
  <c r="N118" i="33"/>
  <c r="L118" i="33"/>
  <c r="K118" i="33"/>
  <c r="I118" i="33"/>
  <c r="AB117" i="33"/>
  <c r="Z117" i="33"/>
  <c r="Y117" i="33"/>
  <c r="W117" i="33"/>
  <c r="U117" i="33"/>
  <c r="S117" i="33"/>
  <c r="R117" i="33"/>
  <c r="P117" i="33"/>
  <c r="N117" i="33"/>
  <c r="L117" i="33"/>
  <c r="K117" i="33"/>
  <c r="I117" i="33"/>
  <c r="AD118" i="33" l="1"/>
  <c r="AH118" i="33" s="1"/>
  <c r="AD117" i="33"/>
  <c r="AH117" i="33" s="1"/>
  <c r="T118" i="33"/>
  <c r="T117" i="33"/>
  <c r="AA118" i="33"/>
  <c r="AA153" i="33"/>
  <c r="M153" i="33"/>
  <c r="M118" i="33"/>
  <c r="M117" i="33"/>
  <c r="T153" i="33"/>
  <c r="AA117" i="33"/>
  <c r="Z177" i="33"/>
  <c r="Z179" i="33" s="1"/>
  <c r="Z170" i="33"/>
  <c r="Z175" i="33" s="1"/>
  <c r="Z167" i="33"/>
  <c r="Z166" i="33"/>
  <c r="Z165" i="33"/>
  <c r="Z163" i="33"/>
  <c r="Z162" i="33"/>
  <c r="Z160" i="33"/>
  <c r="Z151" i="33"/>
  <c r="Z149" i="33"/>
  <c r="AG149" i="33" s="1"/>
  <c r="AG157" i="33" s="1"/>
  <c r="Z137" i="33"/>
  <c r="Z135" i="33"/>
  <c r="Z134" i="33"/>
  <c r="Z133" i="33"/>
  <c r="Z116" i="33"/>
  <c r="Z112" i="33"/>
  <c r="Z110" i="33"/>
  <c r="Z103" i="33"/>
  <c r="Z102" i="33"/>
  <c r="Z100" i="33"/>
  <c r="Z99" i="33"/>
  <c r="Z98" i="33"/>
  <c r="Z97" i="33"/>
  <c r="Z95" i="33"/>
  <c r="Z94" i="33"/>
  <c r="Z93" i="33"/>
  <c r="Z92" i="33"/>
  <c r="Z91" i="33"/>
  <c r="Z84" i="33"/>
  <c r="Z83" i="33"/>
  <c r="Z82" i="33"/>
  <c r="Z79" i="33"/>
  <c r="Z75" i="33"/>
  <c r="AG75" i="33" s="1"/>
  <c r="AG89" i="33" s="1"/>
  <c r="Z74" i="33"/>
  <c r="Z69" i="33"/>
  <c r="Z60" i="33"/>
  <c r="Z58" i="33"/>
  <c r="Z56" i="33"/>
  <c r="Z55" i="33"/>
  <c r="Z54" i="33"/>
  <c r="Z53" i="33"/>
  <c r="Z51" i="33"/>
  <c r="Z50" i="33"/>
  <c r="Z49" i="33"/>
  <c r="Z48" i="33"/>
  <c r="Z46" i="33"/>
  <c r="Z45" i="33"/>
  <c r="Z39" i="33"/>
  <c r="Z43" i="33" s="1"/>
  <c r="Z30" i="33"/>
  <c r="Z24" i="33"/>
  <c r="Z22" i="33"/>
  <c r="Z21" i="33"/>
  <c r="Z19" i="33"/>
  <c r="Z18" i="33"/>
  <c r="Z13" i="33"/>
  <c r="Z9" i="33"/>
  <c r="Z8" i="33"/>
  <c r="Z7" i="33"/>
  <c r="Z6" i="33"/>
  <c r="Z5" i="33"/>
  <c r="S177" i="33"/>
  <c r="S179" i="33" s="1"/>
  <c r="S170" i="33"/>
  <c r="S175" i="33" s="1"/>
  <c r="S167" i="33"/>
  <c r="S166" i="33"/>
  <c r="S165" i="33"/>
  <c r="S163" i="33"/>
  <c r="S162" i="33"/>
  <c r="S160" i="33"/>
  <c r="S151" i="33"/>
  <c r="S149" i="33"/>
  <c r="S141" i="33"/>
  <c r="S137" i="33"/>
  <c r="S135" i="33"/>
  <c r="S134" i="33"/>
  <c r="S133" i="33"/>
  <c r="S116" i="33"/>
  <c r="S112" i="33"/>
  <c r="S110" i="33"/>
  <c r="S106" i="33"/>
  <c r="S103" i="33"/>
  <c r="S102" i="33"/>
  <c r="S100" i="33"/>
  <c r="S99" i="33"/>
  <c r="S98" i="33"/>
  <c r="S97" i="33"/>
  <c r="S95" i="33"/>
  <c r="S94" i="33"/>
  <c r="S93" i="33"/>
  <c r="S92" i="33"/>
  <c r="S91" i="33"/>
  <c r="S84" i="33"/>
  <c r="S83" i="33"/>
  <c r="S82" i="33"/>
  <c r="S79" i="33"/>
  <c r="S75" i="33"/>
  <c r="S74" i="33"/>
  <c r="S69" i="33"/>
  <c r="S60" i="33"/>
  <c r="S58" i="33"/>
  <c r="S56" i="33"/>
  <c r="S55" i="33"/>
  <c r="S54" i="33"/>
  <c r="S53" i="33"/>
  <c r="S51" i="33"/>
  <c r="S50" i="33"/>
  <c r="S49" i="33"/>
  <c r="S48" i="33"/>
  <c r="S46" i="33"/>
  <c r="S45" i="33"/>
  <c r="S39" i="33"/>
  <c r="S43" i="33" s="1"/>
  <c r="S30" i="33"/>
  <c r="S24" i="33"/>
  <c r="S22" i="33"/>
  <c r="S21" i="33"/>
  <c r="S19" i="33"/>
  <c r="S18" i="33"/>
  <c r="S13" i="33"/>
  <c r="S9" i="33"/>
  <c r="S8" i="33"/>
  <c r="S7" i="33"/>
  <c r="S6" i="33"/>
  <c r="S5" i="33"/>
  <c r="L151" i="33"/>
  <c r="L149" i="33"/>
  <c r="L137" i="33"/>
  <c r="L135" i="33"/>
  <c r="L134" i="33"/>
  <c r="L116" i="33"/>
  <c r="L106" i="33"/>
  <c r="L103" i="33"/>
  <c r="L99" i="33"/>
  <c r="L93" i="33"/>
  <c r="L60" i="33"/>
  <c r="AG60" i="33" s="1"/>
  <c r="L58" i="33"/>
  <c r="AG58" i="33" s="1"/>
  <c r="L56" i="33"/>
  <c r="AG56" i="33" s="1"/>
  <c r="L55" i="33"/>
  <c r="L30" i="33"/>
  <c r="AG30" i="33" s="1"/>
  <c r="AG185" i="33" l="1"/>
  <c r="AG180" i="33"/>
  <c r="AG55" i="33"/>
  <c r="S168" i="33"/>
  <c r="Z168" i="33"/>
  <c r="X179" i="33"/>
  <c r="V179" i="33"/>
  <c r="Q179" i="33"/>
  <c r="O179" i="33"/>
  <c r="H179" i="33"/>
  <c r="AB177" i="33"/>
  <c r="Y177" i="33"/>
  <c r="Y179" i="33" s="1"/>
  <c r="W177" i="33"/>
  <c r="W179" i="33" s="1"/>
  <c r="U177" i="33"/>
  <c r="R177" i="33"/>
  <c r="P177" i="33"/>
  <c r="P179" i="33" s="1"/>
  <c r="N177" i="33"/>
  <c r="L177" i="33"/>
  <c r="I177" i="33"/>
  <c r="X175" i="33"/>
  <c r="V175" i="33"/>
  <c r="Q175" i="33"/>
  <c r="O175" i="33"/>
  <c r="H175" i="33"/>
  <c r="AB174" i="33"/>
  <c r="Y174" i="33"/>
  <c r="W174" i="33"/>
  <c r="U174" i="33"/>
  <c r="R174" i="33"/>
  <c r="P174" i="33"/>
  <c r="N174" i="33"/>
  <c r="I174" i="33"/>
  <c r="AD174" i="33" s="1"/>
  <c r="AH174" i="33" s="1"/>
  <c r="AB173" i="33"/>
  <c r="Y173" i="33"/>
  <c r="W173" i="33"/>
  <c r="U173" i="33"/>
  <c r="R173" i="33"/>
  <c r="P173" i="33"/>
  <c r="N173" i="33"/>
  <c r="I173" i="33"/>
  <c r="AD173" i="33" s="1"/>
  <c r="AH173" i="33" s="1"/>
  <c r="AB172" i="33"/>
  <c r="Y172" i="33"/>
  <c r="W172" i="33"/>
  <c r="U172" i="33"/>
  <c r="R172" i="33"/>
  <c r="P172" i="33"/>
  <c r="N172" i="33"/>
  <c r="I172" i="33"/>
  <c r="AD172" i="33" s="1"/>
  <c r="AH172" i="33" s="1"/>
  <c r="AB171" i="33"/>
  <c r="Y171" i="33"/>
  <c r="W171" i="33"/>
  <c r="U171" i="33"/>
  <c r="R171" i="33"/>
  <c r="P171" i="33"/>
  <c r="N171" i="33"/>
  <c r="I171" i="33"/>
  <c r="AD171" i="33" s="1"/>
  <c r="AH171" i="33" s="1"/>
  <c r="AB170" i="33"/>
  <c r="Y170" i="33"/>
  <c r="W170" i="33"/>
  <c r="U170" i="33"/>
  <c r="R170" i="33"/>
  <c r="P170" i="33"/>
  <c r="N170" i="33"/>
  <c r="L170" i="33"/>
  <c r="L175" i="33" s="1"/>
  <c r="I170" i="33"/>
  <c r="X168" i="33"/>
  <c r="V168" i="33"/>
  <c r="Q168" i="33"/>
  <c r="O168" i="33"/>
  <c r="H168" i="33"/>
  <c r="AB167" i="33"/>
  <c r="Y167" i="33"/>
  <c r="W167" i="33"/>
  <c r="U167" i="33"/>
  <c r="R167" i="33"/>
  <c r="P167" i="33"/>
  <c r="N167" i="33"/>
  <c r="L167" i="33"/>
  <c r="I167" i="33"/>
  <c r="AD167" i="33" s="1"/>
  <c r="AH167" i="33" s="1"/>
  <c r="AB166" i="33"/>
  <c r="Y166" i="33"/>
  <c r="W166" i="33"/>
  <c r="U166" i="33"/>
  <c r="R166" i="33"/>
  <c r="P166" i="33"/>
  <c r="N166" i="33"/>
  <c r="L166" i="33"/>
  <c r="I166" i="33"/>
  <c r="AB165" i="33"/>
  <c r="Y165" i="33"/>
  <c r="W165" i="33"/>
  <c r="U165" i="33"/>
  <c r="R165" i="33"/>
  <c r="P165" i="33"/>
  <c r="N165" i="33"/>
  <c r="L165" i="33"/>
  <c r="I165" i="33"/>
  <c r="AB164" i="33"/>
  <c r="Y164" i="33"/>
  <c r="W164" i="33"/>
  <c r="U164" i="33"/>
  <c r="R164" i="33"/>
  <c r="P164" i="33"/>
  <c r="N164" i="33"/>
  <c r="I164" i="33"/>
  <c r="AD164" i="33" s="1"/>
  <c r="AH164" i="33" s="1"/>
  <c r="AB163" i="33"/>
  <c r="Y163" i="33"/>
  <c r="W163" i="33"/>
  <c r="U163" i="33"/>
  <c r="R163" i="33"/>
  <c r="P163" i="33"/>
  <c r="N163" i="33"/>
  <c r="L163" i="33"/>
  <c r="I163" i="33"/>
  <c r="AD163" i="33" s="1"/>
  <c r="AH163" i="33" s="1"/>
  <c r="AB162" i="33"/>
  <c r="Y162" i="33"/>
  <c r="W162" i="33"/>
  <c r="U162" i="33"/>
  <c r="R162" i="33"/>
  <c r="P162" i="33"/>
  <c r="N162" i="33"/>
  <c r="L162" i="33"/>
  <c r="I162" i="33"/>
  <c r="AD162" i="33" s="1"/>
  <c r="AH162" i="33" s="1"/>
  <c r="AB161" i="33"/>
  <c r="Y161" i="33"/>
  <c r="W161" i="33"/>
  <c r="U161" i="33"/>
  <c r="R161" i="33"/>
  <c r="P161" i="33"/>
  <c r="N161" i="33"/>
  <c r="I161" i="33"/>
  <c r="AB159" i="33"/>
  <c r="Y159" i="33"/>
  <c r="W159" i="33"/>
  <c r="U159" i="33"/>
  <c r="R159" i="33"/>
  <c r="P159" i="33"/>
  <c r="N159" i="33"/>
  <c r="I159" i="33"/>
  <c r="AD159" i="33" s="1"/>
  <c r="X157" i="33"/>
  <c r="V157" i="33"/>
  <c r="V180" i="33" s="1"/>
  <c r="AC181" i="33" s="1"/>
  <c r="Q157" i="33"/>
  <c r="O157" i="33"/>
  <c r="H157" i="33"/>
  <c r="AB156" i="33"/>
  <c r="Y156" i="33"/>
  <c r="W156" i="33"/>
  <c r="U156" i="33"/>
  <c r="R156" i="33"/>
  <c r="P156" i="33"/>
  <c r="N156" i="33"/>
  <c r="I156" i="33"/>
  <c r="AD156" i="33" s="1"/>
  <c r="AH156" i="33" s="1"/>
  <c r="AB152" i="33"/>
  <c r="Y152" i="33"/>
  <c r="W152" i="33"/>
  <c r="U152" i="33"/>
  <c r="R152" i="33"/>
  <c r="P152" i="33"/>
  <c r="N152" i="33"/>
  <c r="I152" i="33"/>
  <c r="AD152" i="33" s="1"/>
  <c r="AH152" i="33" s="1"/>
  <c r="AB151" i="33"/>
  <c r="Y151" i="33"/>
  <c r="W151" i="33"/>
  <c r="U151" i="33"/>
  <c r="R151" i="33"/>
  <c r="P151" i="33"/>
  <c r="N151" i="33"/>
  <c r="I151" i="33"/>
  <c r="AD151" i="33" s="1"/>
  <c r="AH151" i="33" s="1"/>
  <c r="AB150" i="33"/>
  <c r="Y150" i="33"/>
  <c r="W150" i="33"/>
  <c r="U150" i="33"/>
  <c r="R150" i="33"/>
  <c r="P150" i="33"/>
  <c r="N150" i="33"/>
  <c r="I150" i="33"/>
  <c r="AD150" i="33" s="1"/>
  <c r="AH150" i="33" s="1"/>
  <c r="AB149" i="33"/>
  <c r="Y149" i="33"/>
  <c r="W149" i="33"/>
  <c r="U149" i="33"/>
  <c r="R149" i="33"/>
  <c r="P149" i="33"/>
  <c r="N149" i="33"/>
  <c r="I149" i="33"/>
  <c r="AB148" i="33"/>
  <c r="Y148" i="33"/>
  <c r="W148" i="33"/>
  <c r="U148" i="33"/>
  <c r="R148" i="33"/>
  <c r="P148" i="33"/>
  <c r="N148" i="33"/>
  <c r="I148" i="33"/>
  <c r="AD148" i="33" s="1"/>
  <c r="AH148" i="33" s="1"/>
  <c r="AB147" i="33"/>
  <c r="Z147" i="33" s="1"/>
  <c r="Y147" i="33"/>
  <c r="W147" i="33"/>
  <c r="U147" i="33"/>
  <c r="S147" i="33" s="1"/>
  <c r="R147" i="33"/>
  <c r="P147" i="33"/>
  <c r="N147" i="33"/>
  <c r="L147" i="33" s="1"/>
  <c r="I147" i="33"/>
  <c r="AD147" i="33" s="1"/>
  <c r="AH147" i="33" s="1"/>
  <c r="AB146" i="33"/>
  <c r="Y146" i="33"/>
  <c r="W146" i="33"/>
  <c r="U146" i="33"/>
  <c r="R146" i="33"/>
  <c r="P146" i="33"/>
  <c r="N146" i="33"/>
  <c r="K146" i="33"/>
  <c r="I146" i="33"/>
  <c r="AD146" i="33" s="1"/>
  <c r="AH146" i="33" s="1"/>
  <c r="AB145" i="33"/>
  <c r="Z145" i="33" s="1"/>
  <c r="Y145" i="33"/>
  <c r="W145" i="33"/>
  <c r="U145" i="33"/>
  <c r="S145" i="33" s="1"/>
  <c r="R145" i="33"/>
  <c r="P145" i="33"/>
  <c r="N145" i="33"/>
  <c r="L145" i="33" s="1"/>
  <c r="I145" i="33"/>
  <c r="AD145" i="33" s="1"/>
  <c r="AH145" i="33" s="1"/>
  <c r="AB144" i="33"/>
  <c r="Z144" i="33" s="1"/>
  <c r="Y144" i="33"/>
  <c r="W144" i="33"/>
  <c r="U144" i="33"/>
  <c r="S144" i="33" s="1"/>
  <c r="R144" i="33"/>
  <c r="P144" i="33"/>
  <c r="N144" i="33"/>
  <c r="L144" i="33" s="1"/>
  <c r="I144" i="33"/>
  <c r="AB143" i="33"/>
  <c r="Y143" i="33"/>
  <c r="W143" i="33"/>
  <c r="U143" i="33"/>
  <c r="R143" i="33"/>
  <c r="P143" i="33"/>
  <c r="N143" i="33"/>
  <c r="I143" i="33"/>
  <c r="AB142" i="33"/>
  <c r="Y142" i="33"/>
  <c r="W142" i="33"/>
  <c r="U142" i="33"/>
  <c r="R142" i="33"/>
  <c r="P142" i="33"/>
  <c r="N142" i="33"/>
  <c r="I142" i="33"/>
  <c r="AB141" i="33"/>
  <c r="Y141" i="33"/>
  <c r="W141" i="33"/>
  <c r="U141" i="33"/>
  <c r="R141" i="33"/>
  <c r="P141" i="33"/>
  <c r="N141" i="33"/>
  <c r="L141" i="33"/>
  <c r="I141" i="33"/>
  <c r="AD141" i="33" s="1"/>
  <c r="AH141" i="33" s="1"/>
  <c r="AB140" i="33"/>
  <c r="Z140" i="33" s="1"/>
  <c r="Y140" i="33"/>
  <c r="W140" i="33"/>
  <c r="U140" i="33"/>
  <c r="S140" i="33" s="1"/>
  <c r="R140" i="33"/>
  <c r="P140" i="33"/>
  <c r="N140" i="33"/>
  <c r="L140" i="33" s="1"/>
  <c r="I140" i="33"/>
  <c r="AB139" i="33"/>
  <c r="Z139" i="33" s="1"/>
  <c r="Y139" i="33"/>
  <c r="W139" i="33"/>
  <c r="U139" i="33"/>
  <c r="S139" i="33" s="1"/>
  <c r="R139" i="33"/>
  <c r="P139" i="33"/>
  <c r="N139" i="33"/>
  <c r="L139" i="33" s="1"/>
  <c r="I139" i="33"/>
  <c r="AB138" i="33"/>
  <c r="Z138" i="33" s="1"/>
  <c r="Y138" i="33"/>
  <c r="W138" i="33"/>
  <c r="U138" i="33"/>
  <c r="S138" i="33" s="1"/>
  <c r="R138" i="33"/>
  <c r="P138" i="33"/>
  <c r="N138" i="33"/>
  <c r="L138" i="33" s="1"/>
  <c r="I138" i="33"/>
  <c r="AB137" i="33"/>
  <c r="Y137" i="33"/>
  <c r="W137" i="33"/>
  <c r="U137" i="33"/>
  <c r="R137" i="33"/>
  <c r="P137" i="33"/>
  <c r="N137" i="33"/>
  <c r="I137" i="33"/>
  <c r="AD137" i="33" s="1"/>
  <c r="AH137" i="33" s="1"/>
  <c r="AB136" i="33"/>
  <c r="Y136" i="33"/>
  <c r="W136" i="33"/>
  <c r="U136" i="33"/>
  <c r="R136" i="33"/>
  <c r="P136" i="33"/>
  <c r="N136" i="33"/>
  <c r="I136" i="33"/>
  <c r="AB135" i="33"/>
  <c r="Y135" i="33"/>
  <c r="W135" i="33"/>
  <c r="U135" i="33"/>
  <c r="R135" i="33"/>
  <c r="P135" i="33"/>
  <c r="N135" i="33"/>
  <c r="I135" i="33"/>
  <c r="AD135" i="33" s="1"/>
  <c r="AH135" i="33" s="1"/>
  <c r="AB134" i="33"/>
  <c r="Y134" i="33"/>
  <c r="W134" i="33"/>
  <c r="U134" i="33"/>
  <c r="R134" i="33"/>
  <c r="P134" i="33"/>
  <c r="N134" i="33"/>
  <c r="I134" i="33"/>
  <c r="AB133" i="33"/>
  <c r="Y133" i="33"/>
  <c r="W133" i="33"/>
  <c r="U133" i="33"/>
  <c r="R133" i="33"/>
  <c r="P133" i="33"/>
  <c r="N133" i="33"/>
  <c r="L133" i="33"/>
  <c r="I133" i="33"/>
  <c r="AB132" i="33"/>
  <c r="Z132" i="33" s="1"/>
  <c r="Y132" i="33"/>
  <c r="W132" i="33"/>
  <c r="U132" i="33"/>
  <c r="S132" i="33" s="1"/>
  <c r="R132" i="33"/>
  <c r="P132" i="33"/>
  <c r="N132" i="33"/>
  <c r="L132" i="33" s="1"/>
  <c r="I132" i="33"/>
  <c r="X130" i="33"/>
  <c r="Y130" i="33" s="1"/>
  <c r="V130" i="33"/>
  <c r="Q130" i="33"/>
  <c r="R130" i="33" s="1"/>
  <c r="O130" i="33"/>
  <c r="H130" i="33"/>
  <c r="AB129" i="33"/>
  <c r="Y129" i="33"/>
  <c r="U129" i="33"/>
  <c r="R129" i="33"/>
  <c r="P129" i="33"/>
  <c r="N129" i="33"/>
  <c r="I129" i="33"/>
  <c r="AD129" i="33" s="1"/>
  <c r="AH129" i="33" s="1"/>
  <c r="AB127" i="33"/>
  <c r="Y127" i="33"/>
  <c r="U127" i="33"/>
  <c r="R127" i="33"/>
  <c r="P127" i="33"/>
  <c r="N127" i="33"/>
  <c r="I127" i="33"/>
  <c r="AD127" i="33" s="1"/>
  <c r="AH127" i="33" s="1"/>
  <c r="AB126" i="33"/>
  <c r="Y126" i="33"/>
  <c r="U126" i="33"/>
  <c r="R126" i="33"/>
  <c r="P126" i="33"/>
  <c r="N126" i="33"/>
  <c r="I126" i="33"/>
  <c r="AD126" i="33" s="1"/>
  <c r="AH126" i="33" s="1"/>
  <c r="AB125" i="33"/>
  <c r="Y125" i="33"/>
  <c r="U125" i="33"/>
  <c r="R125" i="33"/>
  <c r="P125" i="33"/>
  <c r="N125" i="33"/>
  <c r="I125" i="33"/>
  <c r="AB124" i="33"/>
  <c r="Y124" i="33"/>
  <c r="W124" i="33"/>
  <c r="U124" i="33"/>
  <c r="Z124" i="33" s="1"/>
  <c r="Z130" i="33" s="1"/>
  <c r="R124" i="33"/>
  <c r="P124" i="33"/>
  <c r="N124" i="33"/>
  <c r="S124" i="33" s="1"/>
  <c r="S130" i="33" s="1"/>
  <c r="L124" i="33"/>
  <c r="L130" i="33" s="1"/>
  <c r="I124" i="33"/>
  <c r="X122" i="33"/>
  <c r="V122" i="33"/>
  <c r="Q122" i="33"/>
  <c r="O122" i="33"/>
  <c r="H122" i="33"/>
  <c r="AB121" i="33"/>
  <c r="Y121" i="33"/>
  <c r="W121" i="33"/>
  <c r="U121" i="33"/>
  <c r="R121" i="33"/>
  <c r="P121" i="33"/>
  <c r="N121" i="33"/>
  <c r="I121" i="33"/>
  <c r="AD121" i="33" s="1"/>
  <c r="AH121" i="33" s="1"/>
  <c r="AB116" i="33"/>
  <c r="Y116" i="33"/>
  <c r="W116" i="33"/>
  <c r="U116" i="33"/>
  <c r="R116" i="33"/>
  <c r="P116" i="33"/>
  <c r="N116" i="33"/>
  <c r="I116" i="33"/>
  <c r="AB115" i="33"/>
  <c r="Y115" i="33"/>
  <c r="W115" i="33"/>
  <c r="U115" i="33"/>
  <c r="R115" i="33"/>
  <c r="P115" i="33"/>
  <c r="N115" i="33"/>
  <c r="L115" i="33"/>
  <c r="I115" i="33"/>
  <c r="AB114" i="33"/>
  <c r="Z114" i="33" s="1"/>
  <c r="Y114" i="33"/>
  <c r="W114" i="33"/>
  <c r="U114" i="33"/>
  <c r="S114" i="33" s="1"/>
  <c r="R114" i="33"/>
  <c r="P114" i="33"/>
  <c r="N114" i="33"/>
  <c r="L114" i="33" s="1"/>
  <c r="I114" i="33"/>
  <c r="AB113" i="33"/>
  <c r="Z113" i="33" s="1"/>
  <c r="Y113" i="33"/>
  <c r="W113" i="33"/>
  <c r="U113" i="33"/>
  <c r="S113" i="33" s="1"/>
  <c r="R113" i="33"/>
  <c r="P113" i="33"/>
  <c r="N113" i="33"/>
  <c r="L113" i="33" s="1"/>
  <c r="I113" i="33"/>
  <c r="AD113" i="33" s="1"/>
  <c r="AH113" i="33" s="1"/>
  <c r="AB112" i="33"/>
  <c r="Y112" i="33"/>
  <c r="W112" i="33"/>
  <c r="U112" i="33"/>
  <c r="R112" i="33"/>
  <c r="P112" i="33"/>
  <c r="N112" i="33"/>
  <c r="L112" i="33"/>
  <c r="I112" i="33"/>
  <c r="AB111" i="33"/>
  <c r="Z111" i="33" s="1"/>
  <c r="Y111" i="33"/>
  <c r="W111" i="33"/>
  <c r="U111" i="33"/>
  <c r="S111" i="33" s="1"/>
  <c r="R111" i="33"/>
  <c r="P111" i="33"/>
  <c r="N111" i="33"/>
  <c r="L111" i="33" s="1"/>
  <c r="I111" i="33"/>
  <c r="AB110" i="33"/>
  <c r="Y110" i="33"/>
  <c r="W110" i="33"/>
  <c r="U110" i="33"/>
  <c r="R110" i="33"/>
  <c r="P110" i="33"/>
  <c r="N110" i="33"/>
  <c r="L110" i="33"/>
  <c r="I110" i="33"/>
  <c r="AB109" i="33"/>
  <c r="Y109" i="33"/>
  <c r="W109" i="33"/>
  <c r="U109" i="33"/>
  <c r="R109" i="33"/>
  <c r="P109" i="33"/>
  <c r="N109" i="33"/>
  <c r="I109" i="33"/>
  <c r="AD109" i="33" s="1"/>
  <c r="AH109" i="33" s="1"/>
  <c r="AB160" i="33"/>
  <c r="Y160" i="33"/>
  <c r="W160" i="33"/>
  <c r="U160" i="33"/>
  <c r="R160" i="33"/>
  <c r="P160" i="33"/>
  <c r="N160" i="33"/>
  <c r="L160" i="33"/>
  <c r="I160" i="33"/>
  <c r="AB108" i="33"/>
  <c r="Y108" i="33"/>
  <c r="W108" i="33"/>
  <c r="U108" i="33"/>
  <c r="R108" i="33"/>
  <c r="P108" i="33"/>
  <c r="N108" i="33"/>
  <c r="I108" i="33"/>
  <c r="AD108" i="33" s="1"/>
  <c r="AH108" i="33" s="1"/>
  <c r="AB107" i="33"/>
  <c r="Y107" i="33"/>
  <c r="W107" i="33"/>
  <c r="U107" i="33"/>
  <c r="R107" i="33"/>
  <c r="P107" i="33"/>
  <c r="N107" i="33"/>
  <c r="I107" i="33"/>
  <c r="AB106" i="33"/>
  <c r="Y106" i="33"/>
  <c r="W106" i="33"/>
  <c r="U106" i="33"/>
  <c r="R106" i="33"/>
  <c r="P106" i="33"/>
  <c r="N106" i="33"/>
  <c r="I106" i="33"/>
  <c r="AD106" i="33" s="1"/>
  <c r="AH106" i="33" s="1"/>
  <c r="AB105" i="33"/>
  <c r="Y105" i="33"/>
  <c r="W105" i="33"/>
  <c r="U105" i="33"/>
  <c r="R105" i="33"/>
  <c r="P105" i="33"/>
  <c r="N105" i="33"/>
  <c r="I105" i="33"/>
  <c r="AB104" i="33"/>
  <c r="Y104" i="33"/>
  <c r="W104" i="33"/>
  <c r="U104" i="33"/>
  <c r="R104" i="33"/>
  <c r="P104" i="33"/>
  <c r="N104" i="33"/>
  <c r="I104" i="33"/>
  <c r="AD104" i="33" s="1"/>
  <c r="AH104" i="33" s="1"/>
  <c r="AB103" i="33"/>
  <c r="Y103" i="33"/>
  <c r="W103" i="33"/>
  <c r="U103" i="33"/>
  <c r="R103" i="33"/>
  <c r="P103" i="33"/>
  <c r="N103" i="33"/>
  <c r="I103" i="33"/>
  <c r="AB102" i="33"/>
  <c r="Y102" i="33"/>
  <c r="W102" i="33"/>
  <c r="U102" i="33"/>
  <c r="R102" i="33"/>
  <c r="P102" i="33"/>
  <c r="N102" i="33"/>
  <c r="L102" i="33"/>
  <c r="I102" i="33"/>
  <c r="AD102" i="33" s="1"/>
  <c r="AH102" i="33" s="1"/>
  <c r="AB101" i="33"/>
  <c r="Z101" i="33" s="1"/>
  <c r="Y101" i="33"/>
  <c r="W101" i="33"/>
  <c r="U101" i="33"/>
  <c r="S101" i="33" s="1"/>
  <c r="R101" i="33"/>
  <c r="P101" i="33"/>
  <c r="N101" i="33"/>
  <c r="L101" i="33" s="1"/>
  <c r="I101" i="33"/>
  <c r="AB100" i="33"/>
  <c r="Y100" i="33"/>
  <c r="W100" i="33"/>
  <c r="U100" i="33"/>
  <c r="R100" i="33"/>
  <c r="P100" i="33"/>
  <c r="N100" i="33"/>
  <c r="L100" i="33"/>
  <c r="I100" i="33"/>
  <c r="AD100" i="33" s="1"/>
  <c r="AH100" i="33" s="1"/>
  <c r="AB99" i="33"/>
  <c r="Y99" i="33"/>
  <c r="W99" i="33"/>
  <c r="U99" i="33"/>
  <c r="R99" i="33"/>
  <c r="P99" i="33"/>
  <c r="N99" i="33"/>
  <c r="I99" i="33"/>
  <c r="AD99" i="33" s="1"/>
  <c r="AH99" i="33" s="1"/>
  <c r="AB98" i="33"/>
  <c r="Y98" i="33"/>
  <c r="W98" i="33"/>
  <c r="U98" i="33"/>
  <c r="R98" i="33"/>
  <c r="P98" i="33"/>
  <c r="N98" i="33"/>
  <c r="L98" i="33"/>
  <c r="I98" i="33"/>
  <c r="Y97" i="33"/>
  <c r="W97" i="33"/>
  <c r="R97" i="33"/>
  <c r="P97" i="33"/>
  <c r="AD97" i="33" s="1"/>
  <c r="AH97" i="33" s="1"/>
  <c r="L97" i="33"/>
  <c r="AB96" i="33"/>
  <c r="Y96" i="33"/>
  <c r="W96" i="33"/>
  <c r="U96" i="33"/>
  <c r="R96" i="33"/>
  <c r="P96" i="33"/>
  <c r="N96" i="33"/>
  <c r="I96" i="33"/>
  <c r="AD96" i="33" s="1"/>
  <c r="AH96" i="33" s="1"/>
  <c r="AB95" i="33"/>
  <c r="Y95" i="33"/>
  <c r="W95" i="33"/>
  <c r="U95" i="33"/>
  <c r="R95" i="33"/>
  <c r="P95" i="33"/>
  <c r="N95" i="33"/>
  <c r="L95" i="33"/>
  <c r="I95" i="33"/>
  <c r="AB94" i="33"/>
  <c r="Y94" i="33"/>
  <c r="W94" i="33"/>
  <c r="U94" i="33"/>
  <c r="R94" i="33"/>
  <c r="P94" i="33"/>
  <c r="N94" i="33"/>
  <c r="L94" i="33"/>
  <c r="I94" i="33"/>
  <c r="AD94" i="33" s="1"/>
  <c r="AH94" i="33" s="1"/>
  <c r="AB93" i="33"/>
  <c r="Y93" i="33"/>
  <c r="W93" i="33"/>
  <c r="U93" i="33"/>
  <c r="R93" i="33"/>
  <c r="P93" i="33"/>
  <c r="N93" i="33"/>
  <c r="I93" i="33"/>
  <c r="AD93" i="33" s="1"/>
  <c r="AH93" i="33" s="1"/>
  <c r="AB92" i="33"/>
  <c r="Y92" i="33"/>
  <c r="W92" i="33"/>
  <c r="U92" i="33"/>
  <c r="R92" i="33"/>
  <c r="P92" i="33"/>
  <c r="N92" i="33"/>
  <c r="L92" i="33"/>
  <c r="I92" i="33"/>
  <c r="AB91" i="33"/>
  <c r="Y91" i="33"/>
  <c r="W91" i="33"/>
  <c r="U91" i="33"/>
  <c r="R91" i="33"/>
  <c r="P91" i="33"/>
  <c r="N91" i="33"/>
  <c r="L91" i="33"/>
  <c r="I91" i="33"/>
  <c r="AD91" i="33" s="1"/>
  <c r="X89" i="33"/>
  <c r="V89" i="33"/>
  <c r="AB89" i="33" s="1"/>
  <c r="Q89" i="33"/>
  <c r="O89" i="33"/>
  <c r="H89" i="33"/>
  <c r="AB88" i="33"/>
  <c r="Y88" i="33"/>
  <c r="W88" i="33"/>
  <c r="U88" i="33"/>
  <c r="S88" i="33" s="1"/>
  <c r="R88" i="33"/>
  <c r="P88" i="33"/>
  <c r="N88" i="33"/>
  <c r="I88" i="33"/>
  <c r="AB86" i="33"/>
  <c r="Z86" i="33" s="1"/>
  <c r="Y86" i="33"/>
  <c r="W86" i="33"/>
  <c r="U86" i="33"/>
  <c r="S86" i="33" s="1"/>
  <c r="R86" i="33"/>
  <c r="P86" i="33"/>
  <c r="N86" i="33"/>
  <c r="L86" i="33" s="1"/>
  <c r="K86" i="33"/>
  <c r="I86" i="33"/>
  <c r="AD86" i="33" s="1"/>
  <c r="AH86" i="33" s="1"/>
  <c r="AB85" i="33"/>
  <c r="Z85" i="33" s="1"/>
  <c r="Y85" i="33"/>
  <c r="W85" i="33"/>
  <c r="U85" i="33"/>
  <c r="S85" i="33" s="1"/>
  <c r="R85" i="33"/>
  <c r="P85" i="33"/>
  <c r="N85" i="33"/>
  <c r="L85" i="33" s="1"/>
  <c r="I85" i="33"/>
  <c r="AD85" i="33" s="1"/>
  <c r="AH85" i="33" s="1"/>
  <c r="AB84" i="33"/>
  <c r="Y84" i="33"/>
  <c r="W84" i="33"/>
  <c r="U84" i="33"/>
  <c r="R84" i="33"/>
  <c r="P84" i="33"/>
  <c r="N84" i="33"/>
  <c r="L84" i="33"/>
  <c r="K84" i="33"/>
  <c r="I84" i="33"/>
  <c r="AD84" i="33" s="1"/>
  <c r="AH84" i="33" s="1"/>
  <c r="AB83" i="33"/>
  <c r="Y83" i="33"/>
  <c r="W83" i="33"/>
  <c r="U83" i="33"/>
  <c r="R83" i="33"/>
  <c r="P83" i="33"/>
  <c r="N83" i="33"/>
  <c r="L83" i="33"/>
  <c r="I83" i="33"/>
  <c r="AB82" i="33"/>
  <c r="Y82" i="33"/>
  <c r="W82" i="33"/>
  <c r="U82" i="33"/>
  <c r="R82" i="33"/>
  <c r="P82" i="33"/>
  <c r="N82" i="33"/>
  <c r="L82" i="33"/>
  <c r="I82" i="33"/>
  <c r="AB81" i="33"/>
  <c r="Z81" i="33" s="1"/>
  <c r="Y81" i="33"/>
  <c r="W81" i="33"/>
  <c r="U81" i="33"/>
  <c r="S81" i="33" s="1"/>
  <c r="R81" i="33"/>
  <c r="P81" i="33"/>
  <c r="N81" i="33"/>
  <c r="L81" i="33" s="1"/>
  <c r="I81" i="33"/>
  <c r="AB80" i="33"/>
  <c r="Z80" i="33" s="1"/>
  <c r="Y80" i="33"/>
  <c r="W80" i="33"/>
  <c r="U80" i="33"/>
  <c r="S80" i="33" s="1"/>
  <c r="R80" i="33"/>
  <c r="P80" i="33"/>
  <c r="N80" i="33"/>
  <c r="L80" i="33" s="1"/>
  <c r="I80" i="33"/>
  <c r="AB79" i="33"/>
  <c r="Y79" i="33"/>
  <c r="W79" i="33"/>
  <c r="U79" i="33"/>
  <c r="R79" i="33"/>
  <c r="P79" i="33"/>
  <c r="N79" i="33"/>
  <c r="L79" i="33"/>
  <c r="I79" i="33"/>
  <c r="AB78" i="33"/>
  <c r="Z78" i="33" s="1"/>
  <c r="Y78" i="33"/>
  <c r="W78" i="33"/>
  <c r="U78" i="33"/>
  <c r="S78" i="33" s="1"/>
  <c r="R78" i="33"/>
  <c r="P78" i="33"/>
  <c r="N78" i="33"/>
  <c r="L78" i="33" s="1"/>
  <c r="I78" i="33"/>
  <c r="AB77" i="33"/>
  <c r="Z77" i="33" s="1"/>
  <c r="Y77" i="33"/>
  <c r="W77" i="33"/>
  <c r="U77" i="33"/>
  <c r="S77" i="33" s="1"/>
  <c r="R77" i="33"/>
  <c r="P77" i="33"/>
  <c r="N77" i="33"/>
  <c r="L77" i="33" s="1"/>
  <c r="I77" i="33"/>
  <c r="AD77" i="33" s="1"/>
  <c r="AH77" i="33" s="1"/>
  <c r="AB76" i="33"/>
  <c r="Z76" i="33" s="1"/>
  <c r="Y76" i="33"/>
  <c r="W76" i="33"/>
  <c r="U76" i="33"/>
  <c r="S76" i="33" s="1"/>
  <c r="R76" i="33"/>
  <c r="P76" i="33"/>
  <c r="N76" i="33"/>
  <c r="L76" i="33" s="1"/>
  <c r="I76" i="33"/>
  <c r="AB75" i="33"/>
  <c r="Y75" i="33"/>
  <c r="W75" i="33"/>
  <c r="U75" i="33"/>
  <c r="R75" i="33"/>
  <c r="P75" i="33"/>
  <c r="N75" i="33"/>
  <c r="L75" i="33"/>
  <c r="I75" i="33"/>
  <c r="AB74" i="33"/>
  <c r="Y74" i="33"/>
  <c r="W74" i="33"/>
  <c r="U74" i="33"/>
  <c r="R74" i="33"/>
  <c r="P74" i="33"/>
  <c r="N74" i="33"/>
  <c r="L74" i="33"/>
  <c r="I74" i="33"/>
  <c r="AB73" i="33"/>
  <c r="Z73" i="33" s="1"/>
  <c r="Y73" i="33"/>
  <c r="W73" i="33"/>
  <c r="U73" i="33"/>
  <c r="S73" i="33" s="1"/>
  <c r="R73" i="33"/>
  <c r="P73" i="33"/>
  <c r="N73" i="33"/>
  <c r="L73" i="33" s="1"/>
  <c r="I73" i="33"/>
  <c r="AD73" i="33" s="1"/>
  <c r="AH73" i="33" s="1"/>
  <c r="AB72" i="33"/>
  <c r="Z72" i="33" s="1"/>
  <c r="Y72" i="33"/>
  <c r="W72" i="33"/>
  <c r="U72" i="33"/>
  <c r="S72" i="33" s="1"/>
  <c r="R72" i="33"/>
  <c r="P72" i="33"/>
  <c r="N72" i="33"/>
  <c r="L72" i="33" s="1"/>
  <c r="I72" i="33"/>
  <c r="AB71" i="33"/>
  <c r="Z71" i="33" s="1"/>
  <c r="Y71" i="33"/>
  <c r="W71" i="33"/>
  <c r="U71" i="33"/>
  <c r="S71" i="33" s="1"/>
  <c r="R71" i="33"/>
  <c r="P71" i="33"/>
  <c r="N71" i="33"/>
  <c r="L71" i="33" s="1"/>
  <c r="I71" i="33"/>
  <c r="AD71" i="33" s="1"/>
  <c r="X69" i="33"/>
  <c r="V69" i="33"/>
  <c r="Z70" i="33" s="1"/>
  <c r="Q69" i="33"/>
  <c r="O69" i="33"/>
  <c r="L69" i="33"/>
  <c r="H69" i="33"/>
  <c r="AB68" i="33"/>
  <c r="Y68" i="33"/>
  <c r="W68" i="33"/>
  <c r="U68" i="33"/>
  <c r="R68" i="33"/>
  <c r="P68" i="33"/>
  <c r="N68" i="33"/>
  <c r="I68" i="33"/>
  <c r="AB67" i="33"/>
  <c r="Y67" i="33"/>
  <c r="W67" i="33"/>
  <c r="U67" i="33"/>
  <c r="R67" i="33"/>
  <c r="P67" i="33"/>
  <c r="N67" i="33"/>
  <c r="K67" i="33"/>
  <c r="I67" i="33"/>
  <c r="AB66" i="33"/>
  <c r="Y66" i="33"/>
  <c r="W66" i="33"/>
  <c r="U66" i="33"/>
  <c r="R66" i="33"/>
  <c r="P66" i="33"/>
  <c r="N66" i="33"/>
  <c r="I66" i="33"/>
  <c r="AD66" i="33" s="1"/>
  <c r="AH66" i="33" s="1"/>
  <c r="AB65" i="33"/>
  <c r="Y65" i="33"/>
  <c r="W65" i="33"/>
  <c r="U65" i="33"/>
  <c r="R65" i="33"/>
  <c r="P65" i="33"/>
  <c r="N65" i="33"/>
  <c r="I65" i="33"/>
  <c r="X63" i="33"/>
  <c r="Y63" i="33" s="1"/>
  <c r="V63" i="33"/>
  <c r="AB63" i="33" s="1"/>
  <c r="Q63" i="33"/>
  <c r="O63" i="33"/>
  <c r="H63" i="33"/>
  <c r="AB62" i="33"/>
  <c r="Y62" i="33"/>
  <c r="W62" i="33"/>
  <c r="U62" i="33"/>
  <c r="R62" i="33"/>
  <c r="P62" i="33"/>
  <c r="N62" i="33"/>
  <c r="I62" i="33"/>
  <c r="AB60" i="33"/>
  <c r="Y60" i="33"/>
  <c r="W60" i="33"/>
  <c r="U60" i="33"/>
  <c r="R60" i="33"/>
  <c r="P60" i="33"/>
  <c r="N60" i="33"/>
  <c r="I60" i="33"/>
  <c r="AD60" i="33" s="1"/>
  <c r="AH60" i="33" s="1"/>
  <c r="AB59" i="33"/>
  <c r="Z59" i="33" s="1"/>
  <c r="Y59" i="33"/>
  <c r="W59" i="33"/>
  <c r="U59" i="33"/>
  <c r="S59" i="33" s="1"/>
  <c r="R59" i="33"/>
  <c r="P59" i="33"/>
  <c r="N59" i="33"/>
  <c r="L59" i="33" s="1"/>
  <c r="AG59" i="33" s="1"/>
  <c r="I59" i="33"/>
  <c r="AB58" i="33"/>
  <c r="Y58" i="33"/>
  <c r="W58" i="33"/>
  <c r="U58" i="33"/>
  <c r="R58" i="33"/>
  <c r="P58" i="33"/>
  <c r="N58" i="33"/>
  <c r="I58" i="33"/>
  <c r="AD58" i="33" s="1"/>
  <c r="AH58" i="33" s="1"/>
  <c r="AB57" i="33"/>
  <c r="Z57" i="33" s="1"/>
  <c r="Y57" i="33"/>
  <c r="W57" i="33"/>
  <c r="U57" i="33"/>
  <c r="S57" i="33" s="1"/>
  <c r="R57" i="33"/>
  <c r="P57" i="33"/>
  <c r="N57" i="33"/>
  <c r="L57" i="33" s="1"/>
  <c r="AG57" i="33" s="1"/>
  <c r="I57" i="33"/>
  <c r="AB56" i="33"/>
  <c r="Y56" i="33"/>
  <c r="W56" i="33"/>
  <c r="U56" i="33"/>
  <c r="R56" i="33"/>
  <c r="P56" i="33"/>
  <c r="N56" i="33"/>
  <c r="I56" i="33"/>
  <c r="AD56" i="33" s="1"/>
  <c r="AH56" i="33" s="1"/>
  <c r="AB55" i="33"/>
  <c r="Y55" i="33"/>
  <c r="W55" i="33"/>
  <c r="U55" i="33"/>
  <c r="R55" i="33"/>
  <c r="P55" i="33"/>
  <c r="N55" i="33"/>
  <c r="I55" i="33"/>
  <c r="AB54" i="33"/>
  <c r="Y54" i="33"/>
  <c r="W54" i="33"/>
  <c r="U54" i="33"/>
  <c r="R54" i="33"/>
  <c r="P54" i="33"/>
  <c r="N54" i="33"/>
  <c r="L54" i="33"/>
  <c r="AG54" i="33" s="1"/>
  <c r="I54" i="33"/>
  <c r="AD54" i="33" s="1"/>
  <c r="AB53" i="33"/>
  <c r="Y53" i="33"/>
  <c r="W53" i="33"/>
  <c r="U53" i="33"/>
  <c r="R53" i="33"/>
  <c r="P53" i="33"/>
  <c r="N53" i="33"/>
  <c r="L53" i="33"/>
  <c r="AG53" i="33" s="1"/>
  <c r="I53" i="33"/>
  <c r="AB52" i="33"/>
  <c r="Z52" i="33" s="1"/>
  <c r="Y52" i="33"/>
  <c r="W52" i="33"/>
  <c r="U52" i="33"/>
  <c r="S52" i="33" s="1"/>
  <c r="R52" i="33"/>
  <c r="P52" i="33"/>
  <c r="N52" i="33"/>
  <c r="I52" i="33"/>
  <c r="AB51" i="33"/>
  <c r="Y51" i="33"/>
  <c r="W51" i="33"/>
  <c r="U51" i="33"/>
  <c r="R51" i="33"/>
  <c r="P51" i="33"/>
  <c r="N51" i="33"/>
  <c r="L51" i="33"/>
  <c r="AG51" i="33" s="1"/>
  <c r="I51" i="33"/>
  <c r="AB50" i="33"/>
  <c r="Y50" i="33"/>
  <c r="W50" i="33"/>
  <c r="U50" i="33"/>
  <c r="R50" i="33"/>
  <c r="P50" i="33"/>
  <c r="N50" i="33"/>
  <c r="L50" i="33"/>
  <c r="AG50" i="33" s="1"/>
  <c r="I50" i="33"/>
  <c r="AB49" i="33"/>
  <c r="Y49" i="33"/>
  <c r="W49" i="33"/>
  <c r="U49" i="33"/>
  <c r="R49" i="33"/>
  <c r="P49" i="33"/>
  <c r="N49" i="33"/>
  <c r="L49" i="33"/>
  <c r="AG49" i="33" s="1"/>
  <c r="I49" i="33"/>
  <c r="AB48" i="33"/>
  <c r="Y48" i="33"/>
  <c r="W48" i="33"/>
  <c r="U48" i="33"/>
  <c r="R48" i="33"/>
  <c r="P48" i="33"/>
  <c r="N48" i="33"/>
  <c r="L48" i="33"/>
  <c r="AG48" i="33" s="1"/>
  <c r="I48" i="33"/>
  <c r="AB47" i="33"/>
  <c r="Y47" i="33"/>
  <c r="W47" i="33"/>
  <c r="U47" i="33"/>
  <c r="R47" i="33"/>
  <c r="P47" i="33"/>
  <c r="N47" i="33"/>
  <c r="I47" i="33"/>
  <c r="AB46" i="33"/>
  <c r="Y46" i="33"/>
  <c r="W46" i="33"/>
  <c r="U46" i="33"/>
  <c r="R46" i="33"/>
  <c r="P46" i="33"/>
  <c r="N46" i="33"/>
  <c r="L46" i="33"/>
  <c r="AG46" i="33" s="1"/>
  <c r="I46" i="33"/>
  <c r="AD46" i="33" s="1"/>
  <c r="AH46" i="33" s="1"/>
  <c r="AB45" i="33"/>
  <c r="Y45" i="33"/>
  <c r="W45" i="33"/>
  <c r="U45" i="33"/>
  <c r="R45" i="33"/>
  <c r="P45" i="33"/>
  <c r="N45" i="33"/>
  <c r="L45" i="33"/>
  <c r="AG45" i="33" s="1"/>
  <c r="I45" i="33"/>
  <c r="AD45" i="33" s="1"/>
  <c r="V43" i="33"/>
  <c r="Z44" i="33" s="1"/>
  <c r="Q43" i="33"/>
  <c r="O43" i="33"/>
  <c r="H43" i="33"/>
  <c r="AB42" i="33"/>
  <c r="Y42" i="33"/>
  <c r="W42" i="33"/>
  <c r="U42" i="33"/>
  <c r="R42" i="33"/>
  <c r="P42" i="33"/>
  <c r="N42" i="33"/>
  <c r="I42" i="33"/>
  <c r="AB41" i="33"/>
  <c r="Y41" i="33"/>
  <c r="W41" i="33"/>
  <c r="U41" i="33"/>
  <c r="R41" i="33"/>
  <c r="P41" i="33"/>
  <c r="N41" i="33"/>
  <c r="I41" i="33"/>
  <c r="AB40" i="33"/>
  <c r="Y40" i="33"/>
  <c r="W40" i="33"/>
  <c r="U40" i="33"/>
  <c r="R40" i="33"/>
  <c r="P40" i="33"/>
  <c r="N40" i="33"/>
  <c r="I40" i="33"/>
  <c r="AB39" i="33"/>
  <c r="Y39" i="33"/>
  <c r="X43" i="33"/>
  <c r="W39" i="33"/>
  <c r="U39" i="33"/>
  <c r="R39" i="33"/>
  <c r="P39" i="33"/>
  <c r="N39" i="33"/>
  <c r="L39" i="33"/>
  <c r="AG39" i="33" s="1"/>
  <c r="AG43" i="33" s="1"/>
  <c r="K39" i="33"/>
  <c r="I39" i="33"/>
  <c r="AD39" i="33" s="1"/>
  <c r="AH39" i="33" s="1"/>
  <c r="AB38" i="33"/>
  <c r="Y38" i="33"/>
  <c r="W38" i="33"/>
  <c r="U38" i="33"/>
  <c r="R38" i="33"/>
  <c r="P38" i="33"/>
  <c r="N38" i="33"/>
  <c r="I38" i="33"/>
  <c r="AD38" i="33" s="1"/>
  <c r="AH38" i="33" s="1"/>
  <c r="AB37" i="33"/>
  <c r="Y37" i="33"/>
  <c r="W37" i="33"/>
  <c r="U37" i="33"/>
  <c r="R37" i="33"/>
  <c r="P37" i="33"/>
  <c r="N37" i="33"/>
  <c r="I37" i="33"/>
  <c r="AD37" i="33" s="1"/>
  <c r="AH37" i="33" s="1"/>
  <c r="AB34" i="33"/>
  <c r="Y34" i="33"/>
  <c r="W34" i="33"/>
  <c r="U34" i="33"/>
  <c r="R34" i="33"/>
  <c r="P34" i="33"/>
  <c r="N34" i="33"/>
  <c r="I34" i="33"/>
  <c r="AD34" i="33" s="1"/>
  <c r="AH34" i="33" s="1"/>
  <c r="AB33" i="33"/>
  <c r="Y33" i="33"/>
  <c r="W33" i="33"/>
  <c r="U33" i="33"/>
  <c r="R33" i="33"/>
  <c r="P33" i="33"/>
  <c r="N33" i="33"/>
  <c r="I33" i="33"/>
  <c r="AD33" i="33" s="1"/>
  <c r="X31" i="33"/>
  <c r="V31" i="33"/>
  <c r="Q31" i="33"/>
  <c r="O31" i="33"/>
  <c r="H31" i="33"/>
  <c r="AB30" i="33"/>
  <c r="Y30" i="33"/>
  <c r="W30" i="33"/>
  <c r="U30" i="33"/>
  <c r="R30" i="33"/>
  <c r="P30" i="33"/>
  <c r="N30" i="33"/>
  <c r="I30" i="33"/>
  <c r="AB26" i="33"/>
  <c r="Y26" i="33"/>
  <c r="W26" i="33"/>
  <c r="U26" i="33"/>
  <c r="R26" i="33"/>
  <c r="P26" i="33"/>
  <c r="N26" i="33"/>
  <c r="I26" i="33"/>
  <c r="AB25" i="33"/>
  <c r="Z25" i="33" s="1"/>
  <c r="Y25" i="33"/>
  <c r="W25" i="33"/>
  <c r="U25" i="33"/>
  <c r="S25" i="33" s="1"/>
  <c r="R25" i="33"/>
  <c r="P25" i="33"/>
  <c r="N25" i="33"/>
  <c r="L25" i="33" s="1"/>
  <c r="I25" i="33"/>
  <c r="AB24" i="33"/>
  <c r="Y24" i="33"/>
  <c r="W24" i="33"/>
  <c r="U24" i="33"/>
  <c r="R24" i="33"/>
  <c r="P24" i="33"/>
  <c r="N24" i="33"/>
  <c r="L24" i="33"/>
  <c r="AG24" i="33" s="1"/>
  <c r="I24" i="33"/>
  <c r="AB23" i="33"/>
  <c r="Z23" i="33" s="1"/>
  <c r="Y23" i="33"/>
  <c r="W23" i="33"/>
  <c r="U23" i="33"/>
  <c r="S23" i="33" s="1"/>
  <c r="R23" i="33"/>
  <c r="P23" i="33"/>
  <c r="N23" i="33"/>
  <c r="L23" i="33" s="1"/>
  <c r="I23" i="33"/>
  <c r="AB36" i="33"/>
  <c r="Y36" i="33"/>
  <c r="W36" i="33"/>
  <c r="U36" i="33"/>
  <c r="R36" i="33"/>
  <c r="P36" i="33"/>
  <c r="N36" i="33"/>
  <c r="I36" i="33"/>
  <c r="AB22" i="33"/>
  <c r="Y22" i="33"/>
  <c r="W22" i="33"/>
  <c r="U22" i="33"/>
  <c r="R22" i="33"/>
  <c r="P22" i="33"/>
  <c r="N22" i="33"/>
  <c r="L22" i="33"/>
  <c r="AG22" i="33" s="1"/>
  <c r="I22" i="33"/>
  <c r="AB35" i="33"/>
  <c r="Y35" i="33"/>
  <c r="W35" i="33"/>
  <c r="U35" i="33"/>
  <c r="R35" i="33"/>
  <c r="P35" i="33"/>
  <c r="N35" i="33"/>
  <c r="I35" i="33"/>
  <c r="AB21" i="33"/>
  <c r="Y21" i="33"/>
  <c r="W21" i="33"/>
  <c r="U21" i="33"/>
  <c r="R21" i="33"/>
  <c r="P21" i="33"/>
  <c r="N21" i="33"/>
  <c r="L21" i="33"/>
  <c r="AG21" i="33" s="1"/>
  <c r="I21" i="33"/>
  <c r="AD21" i="33" s="1"/>
  <c r="AH21" i="33" s="1"/>
  <c r="AB20" i="33"/>
  <c r="Y20" i="33"/>
  <c r="W20" i="33"/>
  <c r="U20" i="33"/>
  <c r="R20" i="33"/>
  <c r="P20" i="33"/>
  <c r="N20" i="33"/>
  <c r="I20" i="33"/>
  <c r="AB19" i="33"/>
  <c r="Y19" i="33"/>
  <c r="W19" i="33"/>
  <c r="U19" i="33"/>
  <c r="R19" i="33"/>
  <c r="P19" i="33"/>
  <c r="N19" i="33"/>
  <c r="L19" i="33"/>
  <c r="AG19" i="33" s="1"/>
  <c r="I19" i="33"/>
  <c r="AB18" i="33"/>
  <c r="Y18" i="33"/>
  <c r="W18" i="33"/>
  <c r="U18" i="33"/>
  <c r="R18" i="33"/>
  <c r="P18" i="33"/>
  <c r="N18" i="33"/>
  <c r="L18" i="33"/>
  <c r="AG18" i="33" s="1"/>
  <c r="I18" i="33"/>
  <c r="AD18" i="33" s="1"/>
  <c r="AB17" i="33"/>
  <c r="Y17" i="33"/>
  <c r="W17" i="33"/>
  <c r="U17" i="33"/>
  <c r="R17" i="33"/>
  <c r="P17" i="33"/>
  <c r="N17" i="33"/>
  <c r="I17" i="33"/>
  <c r="AB16" i="33"/>
  <c r="Y16" i="33"/>
  <c r="W16" i="33"/>
  <c r="U16" i="33"/>
  <c r="R16" i="33"/>
  <c r="P16" i="33"/>
  <c r="N16" i="33"/>
  <c r="I16" i="33"/>
  <c r="AB15" i="33"/>
  <c r="Y15" i="33"/>
  <c r="W15" i="33"/>
  <c r="U15" i="33"/>
  <c r="R15" i="33"/>
  <c r="P15" i="33"/>
  <c r="N15" i="33"/>
  <c r="I15" i="33"/>
  <c r="AB14" i="33"/>
  <c r="Y14" i="33"/>
  <c r="W14" i="33"/>
  <c r="U14" i="33"/>
  <c r="R14" i="33"/>
  <c r="P14" i="33"/>
  <c r="N14" i="33"/>
  <c r="AB13" i="33"/>
  <c r="Y13" i="33"/>
  <c r="W13" i="33"/>
  <c r="U13" i="33"/>
  <c r="R13" i="33"/>
  <c r="P13" i="33"/>
  <c r="N13" i="33"/>
  <c r="L13" i="33"/>
  <c r="AG13" i="33" s="1"/>
  <c r="K13" i="33"/>
  <c r="I13" i="33"/>
  <c r="AB12" i="33"/>
  <c r="Z12" i="33" s="1"/>
  <c r="Y12" i="33"/>
  <c r="W12" i="33"/>
  <c r="U12" i="33"/>
  <c r="S12" i="33" s="1"/>
  <c r="R12" i="33"/>
  <c r="P12" i="33"/>
  <c r="N12" i="33"/>
  <c r="L12" i="33" s="1"/>
  <c r="I12" i="33"/>
  <c r="AB11" i="33"/>
  <c r="Y11" i="33"/>
  <c r="W11" i="33"/>
  <c r="U11" i="33"/>
  <c r="R11" i="33"/>
  <c r="P11" i="33"/>
  <c r="N11" i="33"/>
  <c r="I11" i="33"/>
  <c r="AB10" i="33"/>
  <c r="Y10" i="33"/>
  <c r="W10" i="33"/>
  <c r="U10" i="33"/>
  <c r="R10" i="33"/>
  <c r="P10" i="33"/>
  <c r="N10" i="33"/>
  <c r="I10" i="33"/>
  <c r="AB9" i="33"/>
  <c r="Y9" i="33"/>
  <c r="W9" i="33"/>
  <c r="U9" i="33"/>
  <c r="R9" i="33"/>
  <c r="P9" i="33"/>
  <c r="N9" i="33"/>
  <c r="L9" i="33"/>
  <c r="AG9" i="33" s="1"/>
  <c r="I9" i="33"/>
  <c r="AB8" i="33"/>
  <c r="Y8" i="33"/>
  <c r="W8" i="33"/>
  <c r="U8" i="33"/>
  <c r="R8" i="33"/>
  <c r="P8" i="33"/>
  <c r="N8" i="33"/>
  <c r="L8" i="33"/>
  <c r="AG8" i="33" s="1"/>
  <c r="I8" i="33"/>
  <c r="AB7" i="33"/>
  <c r="Y7" i="33"/>
  <c r="W7" i="33"/>
  <c r="U7" i="33"/>
  <c r="R7" i="33"/>
  <c r="P7" i="33"/>
  <c r="N7" i="33"/>
  <c r="L7" i="33"/>
  <c r="AG7" i="33" s="1"/>
  <c r="I7" i="33"/>
  <c r="AB6" i="33"/>
  <c r="Y6" i="33"/>
  <c r="W6" i="33"/>
  <c r="U6" i="33"/>
  <c r="R6" i="33"/>
  <c r="P6" i="33"/>
  <c r="N6" i="33"/>
  <c r="L6" i="33"/>
  <c r="AG6" i="33" s="1"/>
  <c r="I6" i="33"/>
  <c r="AD6" i="33" s="1"/>
  <c r="AH6" i="33" s="1"/>
  <c r="AB5" i="33"/>
  <c r="Y5" i="33"/>
  <c r="W5" i="33"/>
  <c r="U5" i="33"/>
  <c r="R5" i="33"/>
  <c r="P5" i="33"/>
  <c r="N5" i="33"/>
  <c r="L5" i="33"/>
  <c r="AG5" i="33" s="1"/>
  <c r="I5" i="33"/>
  <c r="AD5" i="33" s="1"/>
  <c r="AD75" i="33" l="1"/>
  <c r="AH75" i="33" s="1"/>
  <c r="AD149" i="33"/>
  <c r="AH149" i="33" s="1"/>
  <c r="AD116" i="33"/>
  <c r="AH116" i="33" s="1"/>
  <c r="AD134" i="33"/>
  <c r="AH134" i="33" s="1"/>
  <c r="AD136" i="33"/>
  <c r="AH136" i="33" s="1"/>
  <c r="AD138" i="33"/>
  <c r="AH138" i="33" s="1"/>
  <c r="AD140" i="33"/>
  <c r="AH140" i="33" s="1"/>
  <c r="AD92" i="33"/>
  <c r="AH92" i="33" s="1"/>
  <c r="AD98" i="33"/>
  <c r="AH98" i="33" s="1"/>
  <c r="AD142" i="33"/>
  <c r="AH142" i="33" s="1"/>
  <c r="AD144" i="33"/>
  <c r="AH144" i="33" s="1"/>
  <c r="AD165" i="33"/>
  <c r="AH165" i="33" s="1"/>
  <c r="AD170" i="33"/>
  <c r="AH71" i="33"/>
  <c r="AD79" i="33"/>
  <c r="AH79" i="33" s="1"/>
  <c r="AD124" i="33"/>
  <c r="AD81" i="33"/>
  <c r="AH81" i="33" s="1"/>
  <c r="AD111" i="33"/>
  <c r="AH111" i="33" s="1"/>
  <c r="AD83" i="33"/>
  <c r="AH83" i="33" s="1"/>
  <c r="AD115" i="33"/>
  <c r="AH115" i="33" s="1"/>
  <c r="AD133" i="33"/>
  <c r="AH133" i="33" s="1"/>
  <c r="AH159" i="33"/>
  <c r="AH91" i="33"/>
  <c r="AD139" i="33"/>
  <c r="AH139" i="33" s="1"/>
  <c r="AD143" i="33"/>
  <c r="AH143" i="33" s="1"/>
  <c r="AD166" i="33"/>
  <c r="AH166" i="33" s="1"/>
  <c r="AD72" i="33"/>
  <c r="AH72" i="33" s="1"/>
  <c r="AD74" i="33"/>
  <c r="AH74" i="33" s="1"/>
  <c r="AD88" i="33"/>
  <c r="AH88" i="33" s="1"/>
  <c r="AD95" i="33"/>
  <c r="AH95" i="33" s="1"/>
  <c r="AD101" i="33"/>
  <c r="AH101" i="33" s="1"/>
  <c r="AD103" i="33"/>
  <c r="AH103" i="33" s="1"/>
  <c r="AD105" i="33"/>
  <c r="AH105" i="33" s="1"/>
  <c r="AD107" i="33"/>
  <c r="AH107" i="33" s="1"/>
  <c r="AD160" i="33"/>
  <c r="AH160" i="33" s="1"/>
  <c r="AD76" i="33"/>
  <c r="AH76" i="33" s="1"/>
  <c r="AD78" i="33"/>
  <c r="AH78" i="33" s="1"/>
  <c r="AD110" i="33"/>
  <c r="AH110" i="33" s="1"/>
  <c r="AD80" i="33"/>
  <c r="AH80" i="33" s="1"/>
  <c r="AD82" i="33"/>
  <c r="AH82" i="33" s="1"/>
  <c r="AD112" i="33"/>
  <c r="AH112" i="33" s="1"/>
  <c r="AD125" i="33"/>
  <c r="AH125" i="33" s="1"/>
  <c r="AD114" i="33"/>
  <c r="AH114" i="33" s="1"/>
  <c r="AD132" i="33"/>
  <c r="AD161" i="33"/>
  <c r="AH161" i="33" s="1"/>
  <c r="I179" i="33"/>
  <c r="AD177" i="33"/>
  <c r="AD68" i="33"/>
  <c r="AH68" i="33" s="1"/>
  <c r="AD14" i="33"/>
  <c r="AH14" i="33" s="1"/>
  <c r="AD16" i="33"/>
  <c r="AH16" i="33" s="1"/>
  <c r="AH18" i="33"/>
  <c r="AH54" i="33"/>
  <c r="AD20" i="33"/>
  <c r="AH20" i="33" s="1"/>
  <c r="AB179" i="33"/>
  <c r="AD65" i="33"/>
  <c r="AD67" i="33"/>
  <c r="AH67" i="33" s="1"/>
  <c r="AH33" i="33"/>
  <c r="AD22" i="33"/>
  <c r="AH22" i="33" s="1"/>
  <c r="AD48" i="33"/>
  <c r="AH48" i="33" s="1"/>
  <c r="AD23" i="33"/>
  <c r="AD8" i="33"/>
  <c r="AH8" i="33" s="1"/>
  <c r="AG23" i="33"/>
  <c r="AD25" i="33"/>
  <c r="AD30" i="33"/>
  <c r="AH30" i="33" s="1"/>
  <c r="AD41" i="33"/>
  <c r="AH41" i="33" s="1"/>
  <c r="AD50" i="33"/>
  <c r="AH50" i="33" s="1"/>
  <c r="AD10" i="33"/>
  <c r="AH10" i="33" s="1"/>
  <c r="AD12" i="33"/>
  <c r="AG25" i="33"/>
  <c r="AG12" i="33"/>
  <c r="AD52" i="33"/>
  <c r="AH45" i="33"/>
  <c r="AD7" i="33"/>
  <c r="AH7" i="33" s="1"/>
  <c r="AD35" i="33"/>
  <c r="AH35" i="33" s="1"/>
  <c r="AD47" i="33"/>
  <c r="AH47" i="33" s="1"/>
  <c r="AG52" i="33"/>
  <c r="AG63" i="33" s="1"/>
  <c r="AD36" i="33"/>
  <c r="AH36" i="33" s="1"/>
  <c r="AD24" i="33"/>
  <c r="AH24" i="33" s="1"/>
  <c r="AD49" i="33"/>
  <c r="AH49" i="33" s="1"/>
  <c r="AH5" i="33"/>
  <c r="AD9" i="33"/>
  <c r="AH9" i="33" s="1"/>
  <c r="AD26" i="33"/>
  <c r="AH26" i="33" s="1"/>
  <c r="AD40" i="33"/>
  <c r="AH40" i="33" s="1"/>
  <c r="AD42" i="33"/>
  <c r="AH42" i="33" s="1"/>
  <c r="AD11" i="33"/>
  <c r="AH11" i="33" s="1"/>
  <c r="AD13" i="33"/>
  <c r="AH13" i="33" s="1"/>
  <c r="AD51" i="33"/>
  <c r="AH51" i="33" s="1"/>
  <c r="AD53" i="33"/>
  <c r="AH53" i="33" s="1"/>
  <c r="AB175" i="33"/>
  <c r="AD15" i="33"/>
  <c r="AH15" i="33" s="1"/>
  <c r="AD17" i="33"/>
  <c r="AH17" i="33" s="1"/>
  <c r="AD19" i="33"/>
  <c r="AH19" i="33" s="1"/>
  <c r="AD55" i="33"/>
  <c r="AH55" i="33" s="1"/>
  <c r="AD57" i="33"/>
  <c r="AH57" i="33" s="1"/>
  <c r="AD59" i="33"/>
  <c r="AH59" i="33" s="1"/>
  <c r="AD62" i="33"/>
  <c r="AH62" i="33" s="1"/>
  <c r="AB168" i="33"/>
  <c r="U43" i="33"/>
  <c r="U89" i="33"/>
  <c r="AB122" i="33"/>
  <c r="AB157" i="33"/>
  <c r="Z131" i="33"/>
  <c r="AB31" i="33"/>
  <c r="U179" i="33"/>
  <c r="U130" i="33"/>
  <c r="U175" i="33"/>
  <c r="U157" i="33"/>
  <c r="U122" i="33"/>
  <c r="S131" i="33"/>
  <c r="Z63" i="33"/>
  <c r="Z64" i="33" s="1"/>
  <c r="L131" i="33"/>
  <c r="Z31" i="33"/>
  <c r="Z32" i="33" s="1"/>
  <c r="S157" i="33"/>
  <c r="S158" i="33" s="1"/>
  <c r="Z157" i="33"/>
  <c r="S63" i="33"/>
  <c r="S64" i="33" s="1"/>
  <c r="AA11" i="33"/>
  <c r="Z122" i="33"/>
  <c r="Z123" i="33" s="1"/>
  <c r="AA121" i="33"/>
  <c r="T171" i="33"/>
  <c r="S31" i="33"/>
  <c r="S32" i="33" s="1"/>
  <c r="U69" i="33"/>
  <c r="S70" i="33"/>
  <c r="Z169" i="33"/>
  <c r="S169" i="33"/>
  <c r="S44" i="33"/>
  <c r="S89" i="33"/>
  <c r="S90" i="33" s="1"/>
  <c r="Z176" i="33"/>
  <c r="Z89" i="33"/>
  <c r="Z90" i="33" s="1"/>
  <c r="S176" i="33"/>
  <c r="T105" i="33"/>
  <c r="S122" i="33"/>
  <c r="S123" i="33" s="1"/>
  <c r="AA113" i="33"/>
  <c r="T127" i="33"/>
  <c r="T136" i="33"/>
  <c r="T11" i="33"/>
  <c r="T10" i="33"/>
  <c r="AA159" i="33"/>
  <c r="T144" i="33"/>
  <c r="AB69" i="33"/>
  <c r="AA7" i="33"/>
  <c r="AA20" i="33"/>
  <c r="AA95" i="33"/>
  <c r="T101" i="33"/>
  <c r="T112" i="33"/>
  <c r="AA116" i="33"/>
  <c r="AA104" i="33"/>
  <c r="T147" i="33"/>
  <c r="T17" i="33"/>
  <c r="AA67" i="33"/>
  <c r="AA94" i="33"/>
  <c r="T8" i="33"/>
  <c r="AA139" i="33"/>
  <c r="AA19" i="33"/>
  <c r="AA47" i="33"/>
  <c r="T91" i="33"/>
  <c r="AA105" i="33"/>
  <c r="AA114" i="33"/>
  <c r="AA149" i="33"/>
  <c r="T67" i="33"/>
  <c r="T100" i="33"/>
  <c r="T143" i="33"/>
  <c r="T42" i="33"/>
  <c r="AA148" i="33"/>
  <c r="T83" i="33"/>
  <c r="AA84" i="33"/>
  <c r="AA103" i="33"/>
  <c r="AA51" i="33"/>
  <c r="AA79" i="33"/>
  <c r="T164" i="33"/>
  <c r="T15" i="33"/>
  <c r="AA57" i="33"/>
  <c r="AA106" i="33"/>
  <c r="T172" i="33"/>
  <c r="AA48" i="33"/>
  <c r="AA16" i="33"/>
  <c r="AA34" i="33"/>
  <c r="AA166" i="33"/>
  <c r="AA172" i="33"/>
  <c r="AA41" i="33"/>
  <c r="AA53" i="33"/>
  <c r="T68" i="33"/>
  <c r="AA174" i="33"/>
  <c r="T30" i="33"/>
  <c r="M84" i="33"/>
  <c r="AA138" i="33"/>
  <c r="T161" i="33"/>
  <c r="AA78" i="33"/>
  <c r="AA96" i="33"/>
  <c r="AA10" i="33"/>
  <c r="T14" i="33"/>
  <c r="M67" i="33"/>
  <c r="T92" i="33"/>
  <c r="AA171" i="33"/>
  <c r="M13" i="33"/>
  <c r="T26" i="33"/>
  <c r="AA52" i="33"/>
  <c r="AA93" i="33"/>
  <c r="T104" i="33"/>
  <c r="T166" i="33"/>
  <c r="R175" i="33"/>
  <c r="AA14" i="33"/>
  <c r="AA37" i="33"/>
  <c r="AA46" i="33"/>
  <c r="T48" i="33"/>
  <c r="Y69" i="33"/>
  <c r="T84" i="33"/>
  <c r="AA160" i="33"/>
  <c r="T133" i="33"/>
  <c r="T94" i="33"/>
  <c r="I89" i="33"/>
  <c r="T34" i="33"/>
  <c r="T74" i="33"/>
  <c r="AA75" i="33"/>
  <c r="R43" i="33"/>
  <c r="T103" i="33"/>
  <c r="W130" i="33"/>
  <c r="AA130" i="33" s="1"/>
  <c r="T152" i="33"/>
  <c r="T174" i="33"/>
  <c r="AA6" i="33"/>
  <c r="T60" i="33"/>
  <c r="M146" i="33"/>
  <c r="I175" i="33"/>
  <c r="I168" i="33"/>
  <c r="I180" i="33" s="1"/>
  <c r="L168" i="33"/>
  <c r="L169" i="33" s="1"/>
  <c r="I130" i="33"/>
  <c r="L122" i="33"/>
  <c r="L123" i="33" s="1"/>
  <c r="M86" i="33"/>
  <c r="L89" i="33"/>
  <c r="L90" i="33" s="1"/>
  <c r="L70" i="33"/>
  <c r="I69" i="33"/>
  <c r="I63" i="33"/>
  <c r="L43" i="33"/>
  <c r="L44" i="33" s="1"/>
  <c r="H185" i="33"/>
  <c r="H187" i="33" s="1"/>
  <c r="H190" i="33" s="1"/>
  <c r="T163" i="33"/>
  <c r="T165" i="33"/>
  <c r="T162" i="33"/>
  <c r="R168" i="33"/>
  <c r="T137" i="33"/>
  <c r="T135" i="33"/>
  <c r="T156" i="33"/>
  <c r="T138" i="33"/>
  <c r="T125" i="33"/>
  <c r="T102" i="33"/>
  <c r="T113" i="33"/>
  <c r="T99" i="33"/>
  <c r="T95" i="33"/>
  <c r="T75" i="33"/>
  <c r="T88" i="33"/>
  <c r="T57" i="33"/>
  <c r="T53" i="33"/>
  <c r="T50" i="33"/>
  <c r="T49" i="33"/>
  <c r="T40" i="33"/>
  <c r="T39" i="33"/>
  <c r="T21" i="33"/>
  <c r="T20" i="33"/>
  <c r="T24" i="33"/>
  <c r="T170" i="33"/>
  <c r="P175" i="33"/>
  <c r="T173" i="33"/>
  <c r="P168" i="33"/>
  <c r="T167" i="33"/>
  <c r="T134" i="33"/>
  <c r="T146" i="33"/>
  <c r="T148" i="33"/>
  <c r="T139" i="33"/>
  <c r="T151" i="33"/>
  <c r="T145" i="33"/>
  <c r="T150" i="33"/>
  <c r="T124" i="33"/>
  <c r="P130" i="33"/>
  <c r="T130" i="33" s="1"/>
  <c r="T126" i="33"/>
  <c r="T129" i="33"/>
  <c r="T93" i="33"/>
  <c r="T96" i="33"/>
  <c r="T111" i="33"/>
  <c r="T115" i="33"/>
  <c r="T98" i="33"/>
  <c r="T107" i="33"/>
  <c r="T110" i="33"/>
  <c r="T114" i="33"/>
  <c r="T106" i="33"/>
  <c r="P122" i="33"/>
  <c r="T85" i="33"/>
  <c r="P89" i="33"/>
  <c r="T82" i="33"/>
  <c r="T73" i="33"/>
  <c r="T71" i="33"/>
  <c r="T72" i="33"/>
  <c r="T81" i="33"/>
  <c r="T86" i="33"/>
  <c r="T80" i="33"/>
  <c r="P69" i="33"/>
  <c r="P63" i="33"/>
  <c r="T62" i="33"/>
  <c r="T58" i="33"/>
  <c r="T45" i="33"/>
  <c r="T52" i="33"/>
  <c r="T46" i="33"/>
  <c r="T55" i="33"/>
  <c r="T51" i="33"/>
  <c r="T59" i="33"/>
  <c r="U63" i="33"/>
  <c r="T54" i="33"/>
  <c r="T47" i="33"/>
  <c r="T37" i="33"/>
  <c r="P43" i="33"/>
  <c r="T38" i="33"/>
  <c r="T33" i="33"/>
  <c r="P31" i="33"/>
  <c r="T19" i="33"/>
  <c r="T25" i="33"/>
  <c r="U31" i="33"/>
  <c r="T22" i="33"/>
  <c r="T35" i="33"/>
  <c r="T23" i="33"/>
  <c r="T13" i="33"/>
  <c r="T9" i="33"/>
  <c r="T16" i="33"/>
  <c r="AA177" i="33"/>
  <c r="AA179" i="33" s="1"/>
  <c r="AA173" i="33"/>
  <c r="AA165" i="33"/>
  <c r="AA164" i="33"/>
  <c r="AA144" i="33"/>
  <c r="AA150" i="33"/>
  <c r="AA137" i="33"/>
  <c r="AA146" i="33"/>
  <c r="AA145" i="33"/>
  <c r="AA142" i="33"/>
  <c r="AA126" i="33"/>
  <c r="AA112" i="33"/>
  <c r="AA92" i="33"/>
  <c r="Y122" i="33"/>
  <c r="AA109" i="33"/>
  <c r="Y89" i="33"/>
  <c r="AA86" i="33"/>
  <c r="AA74" i="33"/>
  <c r="AA85" i="33"/>
  <c r="AA68" i="33"/>
  <c r="AA65" i="33"/>
  <c r="AA54" i="33"/>
  <c r="AA56" i="33"/>
  <c r="AA38" i="33"/>
  <c r="AA23" i="33"/>
  <c r="AA17" i="33"/>
  <c r="AA35" i="33"/>
  <c r="AA12" i="33"/>
  <c r="W175" i="33"/>
  <c r="AA167" i="33"/>
  <c r="AA162" i="33"/>
  <c r="AA161" i="33"/>
  <c r="AA152" i="33"/>
  <c r="AA151" i="33"/>
  <c r="AA141" i="33"/>
  <c r="AA147" i="33"/>
  <c r="AA140" i="33"/>
  <c r="AA134" i="33"/>
  <c r="AA156" i="33"/>
  <c r="AA136" i="33"/>
  <c r="AA124" i="33"/>
  <c r="AA129" i="33"/>
  <c r="AA125" i="33"/>
  <c r="AA127" i="33"/>
  <c r="AA110" i="33"/>
  <c r="AA115" i="33"/>
  <c r="AA108" i="33"/>
  <c r="AA102" i="33"/>
  <c r="AA97" i="33"/>
  <c r="AA101" i="33"/>
  <c r="AA107" i="33"/>
  <c r="AA111" i="33"/>
  <c r="AA81" i="33"/>
  <c r="AA71" i="33"/>
  <c r="AA77" i="33"/>
  <c r="AA88" i="33"/>
  <c r="AA73" i="33"/>
  <c r="AA72" i="33"/>
  <c r="AA76" i="33"/>
  <c r="W69" i="33"/>
  <c r="AA55" i="33"/>
  <c r="AA50" i="33"/>
  <c r="AA59" i="33"/>
  <c r="AA45" i="33"/>
  <c r="AA58" i="33"/>
  <c r="AA40" i="33"/>
  <c r="AB43" i="33"/>
  <c r="AA39" i="33"/>
  <c r="AA8" i="33"/>
  <c r="AA21" i="33"/>
  <c r="AA36" i="33"/>
  <c r="AA25" i="33"/>
  <c r="AA18" i="33"/>
  <c r="AA24" i="33"/>
  <c r="AA9" i="33"/>
  <c r="AA13" i="33"/>
  <c r="T132" i="33"/>
  <c r="W43" i="33"/>
  <c r="AA62" i="33"/>
  <c r="T66" i="33"/>
  <c r="R89" i="33"/>
  <c r="T78" i="33"/>
  <c r="AA100" i="33"/>
  <c r="T109" i="33"/>
  <c r="T159" i="33"/>
  <c r="T36" i="33"/>
  <c r="AA42" i="33"/>
  <c r="T56" i="33"/>
  <c r="AA99" i="33"/>
  <c r="T160" i="33"/>
  <c r="T7" i="33"/>
  <c r="AA15" i="33"/>
  <c r="R31" i="33"/>
  <c r="L63" i="33"/>
  <c r="L64" i="33" s="1"/>
  <c r="AA60" i="33"/>
  <c r="AA66" i="33"/>
  <c r="T77" i="33"/>
  <c r="I122" i="33"/>
  <c r="T149" i="33"/>
  <c r="I31" i="33"/>
  <c r="T18" i="33"/>
  <c r="W63" i="33"/>
  <c r="W89" i="33"/>
  <c r="AA143" i="33"/>
  <c r="R157" i="33"/>
  <c r="L31" i="33"/>
  <c r="L32" i="33" s="1"/>
  <c r="W31" i="33"/>
  <c r="T6" i="33"/>
  <c r="AA33" i="33"/>
  <c r="Y43" i="33"/>
  <c r="T41" i="33"/>
  <c r="R69" i="33"/>
  <c r="T65" i="33"/>
  <c r="AA82" i="33"/>
  <c r="AA98" i="33"/>
  <c r="T108" i="33"/>
  <c r="I157" i="33"/>
  <c r="AA135" i="33"/>
  <c r="T142" i="33"/>
  <c r="T97" i="33"/>
  <c r="O185" i="33"/>
  <c r="O187" i="33" s="1"/>
  <c r="O190" i="33" s="1"/>
  <c r="Q185" i="33"/>
  <c r="Q187" i="33" s="1"/>
  <c r="AB130" i="33"/>
  <c r="L157" i="33"/>
  <c r="L158" i="33" s="1"/>
  <c r="L179" i="33"/>
  <c r="P157" i="33"/>
  <c r="AA83" i="33"/>
  <c r="AA91" i="33"/>
  <c r="T141" i="33"/>
  <c r="X185" i="33"/>
  <c r="X187" i="33" s="1"/>
  <c r="AA30" i="33"/>
  <c r="M39" i="33"/>
  <c r="R63" i="33"/>
  <c r="R122" i="33"/>
  <c r="AA133" i="33"/>
  <c r="Y168" i="33"/>
  <c r="Y175" i="33"/>
  <c r="V185" i="33"/>
  <c r="V187" i="33" s="1"/>
  <c r="V190" i="33" s="1"/>
  <c r="T5" i="33"/>
  <c r="I43" i="33"/>
  <c r="AA49" i="33"/>
  <c r="AA163" i="33"/>
  <c r="AA5" i="33"/>
  <c r="Y31" i="33"/>
  <c r="AA22" i="33"/>
  <c r="T76" i="33"/>
  <c r="T121" i="33"/>
  <c r="AA170" i="33"/>
  <c r="T177" i="33"/>
  <c r="T179" i="33" s="1"/>
  <c r="R179" i="33"/>
  <c r="T12" i="33"/>
  <c r="AA26" i="33"/>
  <c r="T79" i="33"/>
  <c r="W157" i="33"/>
  <c r="AA80" i="33"/>
  <c r="W122" i="33"/>
  <c r="T116" i="33"/>
  <c r="AA132" i="33"/>
  <c r="T140" i="33"/>
  <c r="W168" i="33"/>
  <c r="W180" i="33" s="1"/>
  <c r="Y157" i="33"/>
  <c r="L176" i="33"/>
  <c r="U168" i="33"/>
  <c r="Z158" i="33" l="1"/>
  <c r="Z180" i="33"/>
  <c r="AG181" i="33" s="1"/>
  <c r="AD157" i="33"/>
  <c r="AH132" i="33"/>
  <c r="AH157" i="33" s="1"/>
  <c r="AH89" i="33"/>
  <c r="AD89" i="33"/>
  <c r="AH122" i="33"/>
  <c r="AD122" i="33"/>
  <c r="P180" i="33"/>
  <c r="AD181" i="33" s="1"/>
  <c r="AD168" i="33"/>
  <c r="AH168" i="33"/>
  <c r="AD179" i="33"/>
  <c r="AH177" i="33"/>
  <c r="AH179" i="33" s="1"/>
  <c r="AD175" i="33"/>
  <c r="AH170" i="33"/>
  <c r="AH175" i="33" s="1"/>
  <c r="AD130" i="33"/>
  <c r="AH130" i="33" s="1"/>
  <c r="AH124" i="33"/>
  <c r="AH52" i="33"/>
  <c r="AD69" i="33"/>
  <c r="AH69" i="33" s="1"/>
  <c r="AH65" i="33"/>
  <c r="AD63" i="33"/>
  <c r="AH63" i="33" s="1"/>
  <c r="AH12" i="33"/>
  <c r="AD31" i="33"/>
  <c r="AH25" i="33"/>
  <c r="AH23" i="33"/>
  <c r="AH31" i="33" s="1"/>
  <c r="AD43" i="33"/>
  <c r="AH43" i="33" s="1"/>
  <c r="AA69" i="33"/>
  <c r="AA175" i="33"/>
  <c r="T69" i="33"/>
  <c r="L185" i="33"/>
  <c r="L186" i="33" s="1"/>
  <c r="I185" i="33"/>
  <c r="T175" i="33"/>
  <c r="T168" i="33"/>
  <c r="T122" i="33"/>
  <c r="R185" i="33"/>
  <c r="P185" i="33"/>
  <c r="T89" i="33"/>
  <c r="T63" i="33"/>
  <c r="T31" i="33"/>
  <c r="AA168" i="33"/>
  <c r="AA63" i="33"/>
  <c r="AA122" i="33"/>
  <c r="Z185" i="33"/>
  <c r="Z186" i="33" s="1"/>
  <c r="Y185" i="33"/>
  <c r="AA31" i="33"/>
  <c r="T157" i="33"/>
  <c r="W185" i="33"/>
  <c r="S185" i="33"/>
  <c r="S186" i="33" s="1"/>
  <c r="AA43" i="33"/>
  <c r="AA157" i="33"/>
  <c r="T43" i="33"/>
  <c r="AA89" i="33"/>
  <c r="AD180" i="33" l="1"/>
  <c r="AD185" i="33"/>
  <c r="AA180" i="33"/>
  <c r="T180" i="33"/>
  <c r="AH180" i="33"/>
  <c r="AH185" i="33"/>
  <c r="T181" i="33"/>
  <c r="T185" i="33"/>
  <c r="AA185" i="33"/>
  <c r="AA181" i="33"/>
  <c r="K171" i="33" l="1"/>
  <c r="M171" i="33" s="1"/>
  <c r="K172" i="33"/>
  <c r="M172" i="33" s="1"/>
  <c r="K174" i="33"/>
  <c r="M174" i="33" s="1"/>
  <c r="K173" i="33"/>
  <c r="M173" i="33" s="1"/>
  <c r="K142" i="33"/>
  <c r="M142" i="33" s="1"/>
  <c r="K135" i="33"/>
  <c r="M135" i="33" s="1"/>
  <c r="K144" i="33"/>
  <c r="M144" i="33" s="1"/>
  <c r="K137" i="33"/>
  <c r="M137" i="33" s="1"/>
  <c r="K156" i="33"/>
  <c r="M156" i="33" s="1"/>
  <c r="K136" i="33"/>
  <c r="M136" i="33" s="1"/>
  <c r="K133" i="33"/>
  <c r="M133" i="33" s="1"/>
  <c r="K151" i="33"/>
  <c r="M151" i="33" s="1"/>
  <c r="K143" i="33"/>
  <c r="M143" i="33" s="1"/>
  <c r="K152" i="33"/>
  <c r="M152" i="33" s="1"/>
  <c r="K138" i="33"/>
  <c r="M138" i="33" s="1"/>
  <c r="K149" i="33"/>
  <c r="M149" i="33" s="1"/>
  <c r="K141" i="33"/>
  <c r="M141" i="33" s="1"/>
  <c r="K139" i="33"/>
  <c r="M139" i="33" s="1"/>
  <c r="K150" i="33"/>
  <c r="M150" i="33" s="1"/>
  <c r="K140" i="33"/>
  <c r="M140" i="33" s="1"/>
  <c r="K147" i="33"/>
  <c r="M147" i="33" s="1"/>
  <c r="K145" i="33"/>
  <c r="M145" i="33" s="1"/>
  <c r="K148" i="33"/>
  <c r="M148" i="33" s="1"/>
  <c r="K121" i="33"/>
  <c r="M121" i="33" s="1"/>
  <c r="K113" i="33"/>
  <c r="M113" i="33" s="1"/>
  <c r="K97" i="33"/>
  <c r="M97" i="33" s="1"/>
  <c r="K110" i="33"/>
  <c r="M110" i="33" s="1"/>
  <c r="K96" i="33"/>
  <c r="M96" i="33" s="1"/>
  <c r="K109" i="33"/>
  <c r="M109" i="33" s="1"/>
  <c r="K107" i="33"/>
  <c r="M107" i="33" s="1"/>
  <c r="K92" i="33"/>
  <c r="M92" i="33" s="1"/>
  <c r="K112" i="33"/>
  <c r="M112" i="33" s="1"/>
  <c r="K125" i="33"/>
  <c r="M125" i="33" s="1"/>
  <c r="K95" i="33"/>
  <c r="M95" i="33" s="1"/>
  <c r="K111" i="33"/>
  <c r="M111" i="33" s="1"/>
  <c r="K94" i="33"/>
  <c r="M94" i="33" s="1"/>
  <c r="K129" i="33"/>
  <c r="M129" i="33" s="1"/>
  <c r="K116" i="33"/>
  <c r="M116" i="33" s="1"/>
  <c r="K114" i="33"/>
  <c r="M114" i="33" s="1"/>
  <c r="K98" i="33"/>
  <c r="M98" i="33" s="1"/>
  <c r="K108" i="33"/>
  <c r="M108" i="33" s="1"/>
  <c r="K126" i="33"/>
  <c r="M126" i="33" s="1"/>
  <c r="K100" i="33"/>
  <c r="M100" i="33" s="1"/>
  <c r="K101" i="33"/>
  <c r="M101" i="33" s="1"/>
  <c r="K93" i="33"/>
  <c r="M93" i="33" s="1"/>
  <c r="K106" i="33"/>
  <c r="M106" i="33" s="1"/>
  <c r="K103" i="33"/>
  <c r="M103" i="33" s="1"/>
  <c r="K115" i="33"/>
  <c r="M115" i="33" s="1"/>
  <c r="K127" i="33"/>
  <c r="M127" i="33" s="1"/>
  <c r="K104" i="33"/>
  <c r="M104" i="33" s="1"/>
  <c r="K105" i="33"/>
  <c r="M105" i="33" s="1"/>
  <c r="K82" i="33"/>
  <c r="M82" i="33" s="1"/>
  <c r="K88" i="33"/>
  <c r="M88" i="33" s="1"/>
  <c r="K71" i="33"/>
  <c r="M71" i="33" s="1"/>
  <c r="K81" i="33"/>
  <c r="M81" i="33" s="1"/>
  <c r="K85" i="33"/>
  <c r="M85" i="33" s="1"/>
  <c r="K79" i="33"/>
  <c r="M79" i="33" s="1"/>
  <c r="K72" i="33"/>
  <c r="M72" i="33" s="1"/>
  <c r="K76" i="33"/>
  <c r="M76" i="33" s="1"/>
  <c r="K78" i="33"/>
  <c r="M78" i="33" s="1"/>
  <c r="K83" i="33"/>
  <c r="M83" i="33" s="1"/>
  <c r="K74" i="33"/>
  <c r="M74" i="33" s="1"/>
  <c r="K75" i="33"/>
  <c r="M75" i="33" s="1"/>
  <c r="K77" i="33"/>
  <c r="M77" i="33" s="1"/>
  <c r="K80" i="33"/>
  <c r="M80" i="33" s="1"/>
  <c r="K73" i="33"/>
  <c r="M73" i="33" s="1"/>
  <c r="K167" i="33"/>
  <c r="M167" i="33" s="1"/>
  <c r="K166" i="33"/>
  <c r="M166" i="33" s="1"/>
  <c r="K165" i="33"/>
  <c r="M165" i="33" s="1"/>
  <c r="K163" i="33"/>
  <c r="M163" i="33" s="1"/>
  <c r="K161" i="33"/>
  <c r="M161" i="33" s="1"/>
  <c r="K164" i="33"/>
  <c r="M164" i="33" s="1"/>
  <c r="K160" i="33"/>
  <c r="M160" i="33" s="1"/>
  <c r="K162" i="33"/>
  <c r="M162" i="33" s="1"/>
  <c r="K56" i="33"/>
  <c r="M56" i="33" s="1"/>
  <c r="K55" i="33"/>
  <c r="M55" i="33" s="1"/>
  <c r="K62" i="33"/>
  <c r="M62" i="33" s="1"/>
  <c r="K58" i="33"/>
  <c r="M58" i="33" s="1"/>
  <c r="K66" i="33"/>
  <c r="M66" i="33" s="1"/>
  <c r="K46" i="33"/>
  <c r="M46" i="33" s="1"/>
  <c r="K60" i="33"/>
  <c r="M60" i="33" s="1"/>
  <c r="K53" i="33"/>
  <c r="M53" i="33" s="1"/>
  <c r="K47" i="33"/>
  <c r="M47" i="33" s="1"/>
  <c r="K54" i="33"/>
  <c r="M54" i="33" s="1"/>
  <c r="K52" i="33"/>
  <c r="M52" i="33" s="1"/>
  <c r="K59" i="33"/>
  <c r="M59" i="33" s="1"/>
  <c r="K49" i="33"/>
  <c r="M49" i="33" s="1"/>
  <c r="K57" i="33"/>
  <c r="M57" i="33" s="1"/>
  <c r="K68" i="33"/>
  <c r="M68" i="33" s="1"/>
  <c r="K50" i="33"/>
  <c r="M50" i="33" s="1"/>
  <c r="K51" i="33"/>
  <c r="M51" i="33" s="1"/>
  <c r="K48" i="33"/>
  <c r="M48" i="33" s="1"/>
  <c r="K22" i="33"/>
  <c r="M22" i="33" s="1"/>
  <c r="K24" i="33"/>
  <c r="M24" i="33" s="1"/>
  <c r="K18" i="33"/>
  <c r="M18" i="33" s="1"/>
  <c r="K23" i="33"/>
  <c r="M23" i="33" s="1"/>
  <c r="K21" i="33"/>
  <c r="M21" i="33" s="1"/>
  <c r="K30" i="33"/>
  <c r="M30" i="33" s="1"/>
  <c r="K20" i="33"/>
  <c r="M20" i="33" s="1"/>
  <c r="K26" i="33"/>
  <c r="M26" i="33" s="1"/>
  <c r="K40" i="33"/>
  <c r="M40" i="33" s="1"/>
  <c r="K6" i="33"/>
  <c r="M6" i="33" s="1"/>
  <c r="K41" i="33"/>
  <c r="M41" i="33" s="1"/>
  <c r="K12" i="33"/>
  <c r="M12" i="33" s="1"/>
  <c r="K7" i="33"/>
  <c r="M7" i="33" s="1"/>
  <c r="K34" i="33"/>
  <c r="M34" i="33" s="1"/>
  <c r="K35" i="33"/>
  <c r="M35" i="33" s="1"/>
  <c r="K19" i="33"/>
  <c r="M19" i="33" s="1"/>
  <c r="K8" i="33"/>
  <c r="M8" i="33" s="1"/>
  <c r="K15" i="33"/>
  <c r="M15" i="33" s="1"/>
  <c r="K9" i="33"/>
  <c r="M9" i="33" s="1"/>
  <c r="K16" i="33"/>
  <c r="M16" i="33" s="1"/>
  <c r="K38" i="33"/>
  <c r="M38" i="33" s="1"/>
  <c r="K36" i="33"/>
  <c r="M36" i="33" s="1"/>
  <c r="K25" i="33"/>
  <c r="M25" i="33" s="1"/>
  <c r="K10" i="33"/>
  <c r="M10" i="33" s="1"/>
  <c r="K37" i="33"/>
  <c r="M37" i="33" s="1"/>
  <c r="K42" i="33"/>
  <c r="M42" i="33" s="1"/>
  <c r="K17" i="33"/>
  <c r="M17" i="33" s="1"/>
  <c r="K14" i="33"/>
  <c r="M14" i="33" s="1"/>
  <c r="J63" i="33" l="1"/>
  <c r="K45" i="33"/>
  <c r="M45" i="33" s="1"/>
  <c r="K91" i="33"/>
  <c r="M91" i="33" s="1"/>
  <c r="J69" i="33"/>
  <c r="K65" i="33"/>
  <c r="M65" i="33" s="1"/>
  <c r="J130" i="33"/>
  <c r="K124" i="33"/>
  <c r="M124" i="33" s="1"/>
  <c r="J43" i="33"/>
  <c r="N43" i="33" s="1"/>
  <c r="K33" i="33"/>
  <c r="K177" i="33"/>
  <c r="J179" i="33"/>
  <c r="N179" i="33" s="1"/>
  <c r="K159" i="33"/>
  <c r="J168" i="33"/>
  <c r="N168" i="33" s="1"/>
  <c r="M89" i="33"/>
  <c r="J89" i="33"/>
  <c r="K132" i="33"/>
  <c r="K89" i="33" l="1"/>
  <c r="N89" i="33"/>
  <c r="K130" i="33"/>
  <c r="M130" i="33" s="1"/>
  <c r="N130" i="33"/>
  <c r="K69" i="33"/>
  <c r="M69" i="33" s="1"/>
  <c r="N69" i="33"/>
  <c r="K63" i="33"/>
  <c r="M63" i="33" s="1"/>
  <c r="N63" i="33"/>
  <c r="M33" i="33"/>
  <c r="K43" i="33"/>
  <c r="M43" i="33" s="1"/>
  <c r="K179" i="33"/>
  <c r="M177" i="33"/>
  <c r="M179" i="33" s="1"/>
  <c r="M132" i="33"/>
  <c r="M159" i="33"/>
  <c r="M168" i="33" s="1"/>
  <c r="K168" i="33"/>
  <c r="K11" i="33" l="1"/>
  <c r="M11" i="33" s="1"/>
  <c r="K102" i="33"/>
  <c r="M102" i="33" s="1"/>
  <c r="K170" i="33" l="1"/>
  <c r="J175" i="33"/>
  <c r="N175" i="33" s="1"/>
  <c r="K99" i="33"/>
  <c r="M99" i="33" s="1"/>
  <c r="M122" i="33" s="1"/>
  <c r="J122" i="33"/>
  <c r="J31" i="33"/>
  <c r="N31" i="33" s="1"/>
  <c r="K5" i="33"/>
  <c r="K134" i="33"/>
  <c r="J157" i="33"/>
  <c r="N157" i="33" s="1"/>
  <c r="K122" i="33" l="1"/>
  <c r="N122" i="33"/>
  <c r="J185" i="33"/>
  <c r="J187" i="33" s="1"/>
  <c r="M134" i="33"/>
  <c r="M157" i="33" s="1"/>
  <c r="K157" i="33"/>
  <c r="M5" i="33"/>
  <c r="K31" i="33"/>
  <c r="M170" i="33"/>
  <c r="M175" i="33" s="1"/>
  <c r="K175" i="33"/>
  <c r="M31" i="33" l="1"/>
  <c r="K185" i="33"/>
  <c r="M185" i="33" l="1"/>
  <c r="M180" i="33"/>
  <c r="M181" i="33" l="1"/>
  <c r="AH18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Elsbury</author>
    <author>Matt Cole</author>
  </authors>
  <commentList>
    <comment ref="H3" authorId="0" shapeId="0" xr:uid="{3B46E297-737F-4999-84DD-F7A1AB3D73F4}">
      <text>
        <r>
          <rPr>
            <b/>
            <sz val="9"/>
            <color indexed="81"/>
            <rFont val="Tahoma"/>
            <family val="2"/>
          </rPr>
          <t>Andy Elsbury:</t>
        </r>
        <r>
          <rPr>
            <sz val="9"/>
            <color indexed="81"/>
            <rFont val="Tahoma"/>
            <family val="2"/>
          </rPr>
          <t xml:space="preserve">
Source: P: Sales -Sales Reports -Master Sales Report</t>
        </r>
      </text>
    </comment>
    <comment ref="J3" authorId="0" shapeId="0" xr:uid="{3F04B345-034B-453E-B5BF-E8A96E104CFE}">
      <text>
        <r>
          <rPr>
            <b/>
            <sz val="9"/>
            <color indexed="81"/>
            <rFont val="Tahoma"/>
            <family val="2"/>
          </rPr>
          <t>Andy Elsbury:</t>
        </r>
        <r>
          <rPr>
            <sz val="9"/>
            <color indexed="81"/>
            <rFont val="Tahoma"/>
            <family val="2"/>
          </rPr>
          <t xml:space="preserve">
Source: EOM Inv in Whse Report</t>
        </r>
      </text>
    </comment>
    <comment ref="G7" authorId="1" shapeId="0" xr:uid="{6EC6B657-812E-46A5-8AED-09AE3AFD3EBD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 &lt;$100k
45% &gt;= $100k
</t>
        </r>
      </text>
    </comment>
    <comment ref="G9" authorId="1" shapeId="0" xr:uid="{696E930E-0BCB-443A-915F-E8D50EBE55F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+5% Qtr Sales &gt; $200k </t>
        </r>
      </text>
    </comment>
    <comment ref="G10" authorId="1" shapeId="0" xr:uid="{D971B17A-DFF8-4BE2-B966-BCA57AD22A78}">
      <text>
        <r>
          <rPr>
            <b/>
            <sz val="9"/>
            <color indexed="81"/>
            <rFont val="Tahoma"/>
            <family val="2"/>
          </rPr>
          <t xml:space="preserve">Matt Cole:
</t>
        </r>
        <r>
          <rPr>
            <sz val="9"/>
            <color indexed="81"/>
            <rFont val="Tahoma"/>
            <family val="2"/>
          </rPr>
          <t>70% High demand Meth Addison
50% all other Meth Addison
40% all others</t>
        </r>
      </text>
    </comment>
    <comment ref="G11" authorId="1" shapeId="0" xr:uid="{720FDC71-D73D-44DF-87FD-6D06E7B2B1A6}">
      <text>
        <r>
          <rPr>
            <b/>
            <sz val="9"/>
            <color indexed="81"/>
            <rFont val="Tahoma"/>
            <family val="2"/>
          </rPr>
          <t xml:space="preserve">Matt Cole
</t>
        </r>
        <r>
          <rPr>
            <sz val="9"/>
            <color indexed="81"/>
            <rFont val="Tahoma"/>
            <family val="2"/>
          </rPr>
          <t>35% &lt;$50k
40%&gt;$50k
50% Gov/VA</t>
        </r>
      </text>
    </comment>
    <comment ref="G12" authorId="1" shapeId="0" xr:uid="{11AD38B8-7765-4F3A-B9BD-6CF134F048E1}">
      <text>
        <r>
          <rPr>
            <b/>
            <sz val="9"/>
            <color indexed="81"/>
            <rFont val="Tahoma"/>
            <family val="2"/>
          </rPr>
          <t xml:space="preserve">Matt Cole
</t>
        </r>
        <r>
          <rPr>
            <sz val="9"/>
            <color indexed="81"/>
            <rFont val="Tahoma"/>
            <family val="2"/>
          </rPr>
          <t>35%
Qtrly +5% if Inv Ratio &gt; 25%</t>
        </r>
      </text>
    </comment>
    <comment ref="G14" authorId="1" shapeId="0" xr:uid="{782359BD-7EE9-45A8-8677-0B67D9F4E8AB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50% Meth Addison or VA
+5% Monthly &gt; $150k</t>
        </r>
      </text>
    </comment>
    <comment ref="G15" authorId="1" shapeId="0" xr:uid="{CB9DEAD7-0D1C-4E7C-9B5E-5227909040E6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55% Meth Addison
50% Eminent MC
40% at others</t>
        </r>
      </text>
    </comment>
    <comment ref="G16" authorId="1" shapeId="0" xr:uid="{058AC0D6-05AF-4B28-9DE1-75AB304C1F0D}">
      <text>
        <r>
          <rPr>
            <b/>
            <sz val="9"/>
            <color indexed="81"/>
            <rFont val="Tahoma"/>
            <family val="2"/>
          </rPr>
          <t xml:space="preserve">Matt Cole:
</t>
        </r>
        <r>
          <rPr>
            <sz val="9"/>
            <color indexed="81"/>
            <rFont val="Tahoma"/>
            <family val="2"/>
          </rPr>
          <t>70% High Demand Addison
50% Mid &amp; Low Demand Addison
40% at others</t>
        </r>
      </text>
    </comment>
    <comment ref="G17" authorId="1" shapeId="0" xr:uid="{472BC560-639E-4F36-8381-A43451FB63DB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50% at list
40% at others</t>
        </r>
      </text>
    </comment>
    <comment ref="G20" authorId="1" shapeId="0" xr:uid="{8D45BDA2-97D8-4B77-9C41-2966E2E5CBA0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50% at VA
40% at others</t>
        </r>
      </text>
    </comment>
    <comment ref="G23" authorId="1" shapeId="0" xr:uid="{18C72D3D-08E7-43B1-ABAF-AAF9A4882900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if Inv &gt;=25%</t>
        </r>
      </text>
    </comment>
    <comment ref="G25" authorId="1" shapeId="0" xr:uid="{78659043-8C9C-4C14-9708-12FCCEE3147D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if &gt; $50k
+5% if Inv &gt; 25%</t>
        </r>
      </text>
    </comment>
    <comment ref="G26" authorId="1" shapeId="0" xr:uid="{4AA9D8E7-ED19-44F0-96C0-1038231E568B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55% Meth Addison
50% Eminent MC
40% at others</t>
        </r>
      </text>
    </comment>
    <comment ref="G33" authorId="1" shapeId="0" xr:uid="{0BEE05C1-4736-4E87-AF58-5769354ABFEC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Non-stocking rate</t>
        </r>
      </text>
    </comment>
    <comment ref="G34" authorId="1" shapeId="0" xr:uid="{002A8BF6-6623-4FE6-94BD-77783B5E1E10}">
      <text>
        <r>
          <rPr>
            <b/>
            <sz val="9"/>
            <color indexed="81"/>
            <rFont val="Tahoma"/>
            <family val="2"/>
          </rPr>
          <t xml:space="preserve">Matt Cole:
</t>
        </r>
        <r>
          <rPr>
            <sz val="9"/>
            <color indexed="81"/>
            <rFont val="Tahoma"/>
            <family val="2"/>
          </rPr>
          <t xml:space="preserve">50% at list
Else 40%
</t>
        </r>
      </text>
    </comment>
    <comment ref="G35" authorId="1" shapeId="0" xr:uid="{396CB124-195A-4CBC-A65D-5A64751467D2}">
      <text>
        <r>
          <rPr>
            <b/>
            <sz val="9"/>
            <color indexed="81"/>
            <rFont val="Tahoma"/>
            <family val="2"/>
          </rPr>
          <t xml:space="preserve">Matt Cole: 
</t>
        </r>
        <r>
          <rPr>
            <sz val="9"/>
            <color indexed="81"/>
            <rFont val="Tahoma"/>
            <family val="2"/>
          </rPr>
          <t>If not Stocking
50% if Struxxure &gt; 3k
50% if Strux Screw &gt;350
50% if Matrixx IB &gt;5,500
Else 35%</t>
        </r>
      </text>
    </comment>
    <comment ref="G36" authorId="1" shapeId="0" xr:uid="{01DAE2A5-4779-4CA4-B182-7B3B1480565F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If not stocking</t>
        </r>
      </text>
    </comment>
    <comment ref="G38" authorId="1" shapeId="0" xr:uid="{69B65F76-7720-4351-9AD9-82CA2549B459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60% @ Red River Hospital
35% if not stocking</t>
        </r>
      </text>
    </comment>
    <comment ref="G40" authorId="1" shapeId="0" xr:uid="{B83C1D76-4CD7-485A-8BFA-A6542BB4BB97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 Non-Stocking</t>
        </r>
      </text>
    </comment>
    <comment ref="G47" authorId="1" shapeId="0" xr:uid="{A1DA6D49-2B6B-45E0-9DE1-47819EB395D2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 Cervical Matrixx
40% all other
+5% Monthly &gt; $35k</t>
        </r>
      </text>
    </comment>
    <comment ref="G49" authorId="1" shapeId="0" xr:uid="{6ED6B46F-619F-4AC8-97DC-FB89579D307B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Variable
&lt; $50k = 35%
&gt;=$50k = 40%
+5% Inv &gt;=25%</t>
        </r>
      </text>
    </comment>
    <comment ref="G51" authorId="1" shapeId="0" xr:uid="{86CA106A-258C-4EEE-B577-BC5B898F36F2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if qtrly &gt; $300k</t>
        </r>
      </text>
    </comment>
    <comment ref="G52" authorId="1" shapeId="0" xr:uid="{800EC2C2-450A-4F74-B118-0C253FDFFB74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Inv &gt; 25%
+5% if qtrly &gt;$750k</t>
        </r>
      </text>
    </comment>
    <comment ref="G57" authorId="1" shapeId="0" xr:uid="{FB8CD350-D706-48B8-BBEC-B05119CF93DC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Inv &gt;=25%
50% for VA Cases</t>
        </r>
      </text>
    </comment>
    <comment ref="G59" authorId="1" shapeId="0" xr:uid="{ADE71EE6-4EC2-4D2C-9CF6-B01EB375EB35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Inv &gt; 25%</t>
        </r>
      </text>
    </comment>
    <comment ref="G61" authorId="1" shapeId="0" xr:uid="{0C42D6C8-CCC7-4732-8C1A-1EE605B7C3AF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Inv &gt; 25%</t>
        </r>
      </text>
    </comment>
    <comment ref="G66" authorId="1" shapeId="0" xr:uid="{C2B2C748-64DB-42B2-822E-982A8EE3801E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Qtrly &gt; 240K +5%
Inv Ratio &gt; 25% +5%</t>
        </r>
      </text>
    </comment>
    <comment ref="G71" authorId="1" shapeId="0" xr:uid="{E05FF39D-DCB2-4DCB-A0E9-86053C463AA1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Inv &gt; 25%</t>
        </r>
      </text>
    </comment>
    <comment ref="G72" authorId="1" shapeId="0" xr:uid="{75E46BB9-7FC7-431C-ADC1-F61B1FE0CBD0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30% at Black Hills
35% at others
+5% Inv &gt;25%</t>
        </r>
      </text>
    </comment>
    <comment ref="G73" authorId="1" shapeId="0" xr:uid="{B4C88793-59DE-41AA-BDA2-6F647A1CDD1E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if Inv &gt; 25%</t>
        </r>
      </text>
    </comment>
    <comment ref="G74" authorId="1" shapeId="0" xr:uid="{0474E8A5-5E77-4E20-9E8F-6C7CE32EBE5D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&lt;20k 35%
&gt;20k 40%
</t>
        </r>
      </text>
    </comment>
    <comment ref="G76" authorId="1" shapeId="0" xr:uid="{455C2F96-AAB9-400F-A051-3B4E983910FC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+5% Inv Ratio &gt;25%</t>
        </r>
      </text>
    </comment>
    <comment ref="G77" authorId="1" shapeId="0" xr:uid="{8D2435FE-CCB0-4F50-9EA9-48CA7B909CB4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+5% Inv Ratio &gt;25%</t>
        </r>
      </text>
    </comment>
    <comment ref="G78" authorId="1" shapeId="0" xr:uid="{A59C2965-BAA4-44ED-881F-B4185B2D4A5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+5% Inv Ratio &gt;25%</t>
        </r>
      </text>
    </comment>
    <comment ref="G80" authorId="1" shapeId="0" xr:uid="{78501F47-15D5-48A5-9154-A3E3196D2016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+5% Inv Ratio &gt;25%</t>
        </r>
      </text>
    </comment>
    <comment ref="G81" authorId="1" shapeId="0" xr:uid="{2FE93E8D-B47D-4826-975C-E4F44B68035F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+3% Inv Ratio &gt;25%</t>
        </r>
      </text>
    </comment>
    <comment ref="G85" authorId="1" shapeId="0" xr:uid="{7AD3EE60-2A00-481C-81E2-6F5E11EBD752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if Inv &gt;=25%</t>
        </r>
      </text>
    </comment>
    <comment ref="G86" authorId="1" shapeId="0" xr:uid="{75F32D82-2A7D-42EA-A98F-A4F571FDAD56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if Inv &gt;=25%</t>
        </r>
      </text>
    </comment>
    <comment ref="G87" authorId="1" shapeId="0" xr:uid="{09775B22-46AE-42AE-A1A8-747B6684FC3A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 if not stocking
20% on Disposables
</t>
        </r>
      </text>
    </comment>
    <comment ref="G92" authorId="1" shapeId="0" xr:uid="{1345002D-0533-4D53-B681-9245D1146443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&lt;25 = 30%
&gt;25&lt;50 =35%
&gt;50=40%</t>
        </r>
      </text>
    </comment>
    <comment ref="G93" authorId="1" shapeId="0" xr:uid="{9E3A912C-CCF5-48DF-B997-6E42AE08362F}">
      <text>
        <r>
          <rPr>
            <b/>
            <sz val="9"/>
            <color indexed="81"/>
            <rFont val="Tahoma"/>
            <family val="2"/>
          </rPr>
          <t xml:space="preserve">Matt Cole: </t>
        </r>
        <r>
          <rPr>
            <sz val="9"/>
            <color indexed="81"/>
            <rFont val="Tahoma"/>
            <family val="2"/>
          </rPr>
          <t xml:space="preserve">
35% &lt; $40k
40% &gt; $40k</t>
        </r>
      </text>
    </comment>
    <comment ref="G96" authorId="1" shapeId="0" xr:uid="{C170E7C5-E280-456D-B572-D3219897C114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Commission rate is reduced by 10% to 25% until loan is repaid</t>
        </r>
      </text>
    </comment>
    <comment ref="G98" authorId="1" shapeId="0" xr:uid="{639E71A9-3E74-4971-9FE8-8EB6621EDF4E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&lt;50k 35%
50&gt; 38%
</t>
        </r>
      </text>
    </comment>
    <comment ref="G101" authorId="1" shapeId="0" xr:uid="{FF716A01-D472-4B35-91B1-D399B4EA6610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45% at Northside
40% at all other
+5% if Inv &gt; 25%</t>
        </r>
      </text>
    </comment>
    <comment ref="G102" authorId="1" shapeId="0" xr:uid="{808C1623-8B51-496C-BCD3-5E675C76781D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&gt; $45K/month</t>
        </r>
      </text>
    </comment>
    <comment ref="G104" authorId="1" shapeId="0" xr:uid="{9EE2CCBF-178A-4BF0-90A3-504B37CF5E22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 at Northside
35% all others</t>
        </r>
      </text>
    </comment>
    <comment ref="G105" authorId="1" shapeId="0" xr:uid="{F37334E4-F2A3-4B49-A493-33368DD40B6B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45% at Northside
35% all others
+5% Sales &gt; 100k/Mth</t>
        </r>
      </text>
    </comment>
    <comment ref="G106" authorId="1" shapeId="0" xr:uid="{3585B08E-D053-465B-8E09-AE2304FF1212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30% &lt; $40k
35% &gt;= $40k</t>
        </r>
      </text>
    </comment>
    <comment ref="G107" authorId="1" shapeId="0" xr:uid="{111E1E7F-D005-46AF-82F9-0FE532917C2E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30% HCA &amp; Advent
45% VA
+5% &gt;$50k</t>
        </r>
      </text>
    </comment>
    <comment ref="G108" authorId="1" shapeId="0" xr:uid="{81CF966E-F9F7-424B-949F-DD8A7B0BC181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50% VA
+5% Inv Ratio &gt;= 25%</t>
        </r>
      </text>
    </comment>
    <comment ref="G109" authorId="1" shapeId="0" xr:uid="{A5A27607-EB17-4241-A674-A1B6AC87E5E5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 at Northside
35% all others
+5% Sales &gt; 100k/Mth</t>
        </r>
      </text>
    </comment>
    <comment ref="G110" authorId="1" shapeId="0" xr:uid="{CD2899EB-0D8A-46D1-ACAF-CF79C457A9C0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 &lt; $50k
40% &gt;= $50k</t>
        </r>
      </text>
    </comment>
    <comment ref="G111" authorId="1" shapeId="0" xr:uid="{32059A7C-5A6E-4105-921A-1F62A75F2605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if Inv Ratio &gt;=25%</t>
        </r>
      </text>
    </comment>
    <comment ref="G112" authorId="1" shapeId="0" xr:uid="{8AD09946-98D8-490F-B425-D1EA7A69BBD8}">
      <text>
        <r>
          <rPr>
            <b/>
            <sz val="9"/>
            <color indexed="81"/>
            <rFont val="Tahoma"/>
            <family val="2"/>
          </rPr>
          <t xml:space="preserve">Matt Cole:
</t>
        </r>
        <r>
          <rPr>
            <sz val="9"/>
            <color indexed="81"/>
            <rFont val="Tahoma"/>
            <family val="2"/>
          </rPr>
          <t xml:space="preserve">35%
+5% &gt;=$60k/month
</t>
        </r>
      </text>
    </comment>
    <comment ref="G113" authorId="1" shapeId="0" xr:uid="{9616A501-3AC3-4E4F-8C61-31BF7586F24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if Inv &gt;=25%</t>
        </r>
      </text>
    </comment>
    <comment ref="G114" authorId="1" shapeId="0" xr:uid="{D93793B3-5664-4CD6-9539-5D4715F1696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if Inv &gt;=25%</t>
        </r>
      </text>
    </comment>
    <comment ref="G115" authorId="1" shapeId="0" xr:uid="{5D9C9C70-6AE4-4DB0-AADA-DC97E212F59A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'25 = 50%
'26 = 45%+5% Inv 25%
'27 = 40%+5% Inv 25%</t>
        </r>
      </text>
    </comment>
    <comment ref="G118" authorId="1" shapeId="0" xr:uid="{BD48A510-A3F8-47C1-B22F-64B2634A803A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 except Ascension
+5% &gt;$50k/month
30% Ascension</t>
        </r>
      </text>
    </comment>
    <comment ref="G120" authorId="1" shapeId="0" xr:uid="{470E9357-8970-499F-B293-4D6E0DFE9E41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50% Connexx
40% all other
+5% &gt; $50k/month
</t>
        </r>
      </text>
    </comment>
    <comment ref="G121" authorId="1" shapeId="0" xr:uid="{A4914DDF-8BBC-485E-8A6C-B8EED5099271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&gt; $50,000/month</t>
        </r>
      </text>
    </comment>
    <comment ref="G124" authorId="1" shapeId="0" xr:uid="{D2A2706C-6EE9-4711-8232-3A1F45BCA5A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12% Ark Surg Hosp
25% Cervical PEEK
35% Stuxxure &amp; SA Cervical
30% Christ Hosp</t>
        </r>
      </text>
    </comment>
    <comment ref="G128" authorId="1" shapeId="0" xr:uid="{46513754-D4CB-4B19-A6DD-FFECCE0C92B4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Sliding scale based on monthly sales total</t>
        </r>
      </text>
    </comment>
    <comment ref="G129" authorId="1" shapeId="0" xr:uid="{65B2F029-9FD4-42C2-A0AF-9F27CC5E3F5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Non-Stocking
50% Facet &gt; $3,200
35% Facet &lt; $3,200</t>
        </r>
      </text>
    </comment>
    <comment ref="G132" authorId="1" shapeId="0" xr:uid="{5593ACFC-0C21-4900-BD0B-E3F0D5FFF660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+5% Inv &gt; 25%</t>
        </r>
      </text>
    </comment>
    <comment ref="G135" authorId="1" shapeId="0" xr:uid="{EBC856A7-F54A-4004-80C9-2F1A0EA6304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50% Travis AFB
+5% &gt;$25k</t>
        </r>
      </text>
    </comment>
    <comment ref="G137" authorId="1" shapeId="0" xr:uid="{85120FED-853B-4118-B361-812BA21AB4D1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&gt;$30k</t>
        </r>
      </text>
    </comment>
    <comment ref="G138" authorId="1" shapeId="0" xr:uid="{8BE070CA-473A-4BDB-8D1D-FA8643797833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&gt; $95k</t>
        </r>
      </text>
    </comment>
    <comment ref="G139" authorId="1" shapeId="0" xr:uid="{255AEA04-67B7-47C5-9B55-A8CA1F631374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35%
+5% &gt; $20k</t>
        </r>
      </text>
    </comment>
    <comment ref="G140" authorId="1" shapeId="0" xr:uid="{824E2A31-B2FF-426C-B81E-0B9FC59B5774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37%
+5% &gt;$85k</t>
        </r>
      </text>
    </comment>
    <comment ref="G141" authorId="1" shapeId="0" xr:uid="{9DFBC689-0CA3-4CEB-AAB6-BCF82DAAC2B0}">
      <text>
        <r>
          <rPr>
            <b/>
            <sz val="9"/>
            <color indexed="81"/>
            <rFont val="Tahoma"/>
            <family val="2"/>
          </rPr>
          <t xml:space="preserve">Matt Cole
</t>
        </r>
        <r>
          <rPr>
            <sz val="9"/>
            <color indexed="81"/>
            <rFont val="Tahoma"/>
            <family val="2"/>
          </rPr>
          <t>35% &lt;$50k
40%&gt;$50k
50% Gov/VA</t>
        </r>
      </text>
    </comment>
    <comment ref="G142" authorId="1" shapeId="0" xr:uid="{5D7151E5-173D-4A35-BD95-5D6D111B600E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Unless stocking</t>
        </r>
      </text>
    </comment>
    <comment ref="G143" authorId="1" shapeId="0" xr:uid="{CD8CE382-88CB-4257-AF9C-FED1DC94C9EE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Unless stocking</t>
        </r>
      </text>
    </comment>
    <comment ref="G144" authorId="1" shapeId="0" xr:uid="{3E57F353-8498-4578-BBAA-236026FCAD20}">
      <text>
        <r>
          <rPr>
            <b/>
            <sz val="9"/>
            <color indexed="81"/>
            <rFont val="Tahoma"/>
            <family val="2"/>
          </rPr>
          <t xml:space="preserve">Matt Cole
</t>
        </r>
        <r>
          <rPr>
            <sz val="9"/>
            <color indexed="81"/>
            <rFont val="Tahoma"/>
            <family val="2"/>
          </rPr>
          <t>40%
&gt;50k 45%
+5% Inv &gt; 25%</t>
        </r>
      </text>
    </comment>
    <comment ref="G145" authorId="1" shapeId="0" xr:uid="{F8EC43D0-455A-4E67-9F98-A56864FA1405}">
      <text>
        <r>
          <rPr>
            <b/>
            <sz val="9"/>
            <color indexed="81"/>
            <rFont val="Tahoma"/>
            <family val="2"/>
          </rPr>
          <t>Matt Cole</t>
        </r>
        <r>
          <rPr>
            <sz val="9"/>
            <color indexed="81"/>
            <rFont val="Tahoma"/>
            <family val="2"/>
          </rPr>
          <t xml:space="preserve">
40%
+5% Inv Ratio&gt;25%</t>
        </r>
      </text>
    </comment>
    <comment ref="G147" authorId="1" shapeId="0" xr:uid="{17C5BC6C-6F62-4CB7-B9E9-DA9EC1EB5F84}">
      <text>
        <r>
          <rPr>
            <b/>
            <sz val="9"/>
            <color indexed="81"/>
            <rFont val="Tahoma"/>
            <family val="2"/>
          </rPr>
          <t>Matt Cole</t>
        </r>
        <r>
          <rPr>
            <sz val="9"/>
            <color indexed="81"/>
            <rFont val="Tahoma"/>
            <family val="2"/>
          </rPr>
          <t xml:space="preserve">
40%
+5% Inv Ratio&gt;25%</t>
        </r>
      </text>
    </comment>
    <comment ref="G148" authorId="1" shapeId="0" xr:uid="{C58CDD4C-CD68-4B0A-8ED8-A17F00F3BAF6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 if not stocking
20% on Disposables
</t>
        </r>
      </text>
    </comment>
    <comment ref="G149" authorId="1" shapeId="0" xr:uid="{2D053753-A86E-4719-BFEA-B03E755D1768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+5 if Qtrly &gt;= $90k</t>
        </r>
      </text>
    </comment>
    <comment ref="G150" authorId="1" shapeId="0" xr:uid="{B8F3E744-0145-4B12-A1B7-F37D6E39994D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45% Phelps Memorial
50% Aspen Mountain MC</t>
        </r>
      </text>
    </comment>
    <comment ref="G154" authorId="1" shapeId="0" xr:uid="{2C6C490A-F4EA-427F-B864-AE8D2D3BD491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&lt;$40k 35%
&gt;=$40k 40%</t>
        </r>
      </text>
    </comment>
    <comment ref="G156" authorId="1" shapeId="0" xr:uid="{6E55F8D3-E1B7-4132-81D9-A5C84BA3F216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40%
50% Tripler Army Hosp</t>
        </r>
      </text>
    </comment>
    <comment ref="G159" authorId="1" shapeId="0" xr:uid="{074E37FB-60D9-49F9-9364-A18933CC7100}">
      <text>
        <r>
          <rPr>
            <b/>
            <sz val="9"/>
            <color indexed="81"/>
            <rFont val="Tahoma"/>
            <family val="2"/>
          </rPr>
          <t>Matt Cole:
12,500/month</t>
        </r>
      </text>
    </comment>
    <comment ref="G161" authorId="1" shapeId="0" xr:uid="{0ECBCA61-AE15-4A85-8D69-58E6096B4435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20% on Std cases
45% on Work Comp</t>
        </r>
      </text>
    </comment>
    <comment ref="G163" authorId="1" shapeId="0" xr:uid="{2FEE0422-1B04-44DE-977B-9EC9383D4ABC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25% OSU Study
35% others</t>
        </r>
      </text>
    </comment>
    <comment ref="G164" authorId="1" shapeId="0" xr:uid="{B2D29701-515A-4A3C-A62F-A18EA00CB893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Non-stocking rate</t>
        </r>
      </text>
    </comment>
    <comment ref="G165" authorId="1" shapeId="0" xr:uid="{476C30FD-D375-447D-9847-BD35CFD77FFA}">
      <text>
        <r>
          <rPr>
            <b/>
            <sz val="9"/>
            <color indexed="81"/>
            <rFont val="Tahoma"/>
            <family val="2"/>
          </rPr>
          <t>Matt Cole:</t>
        </r>
        <r>
          <rPr>
            <sz val="9"/>
            <color indexed="81"/>
            <rFont val="Tahoma"/>
            <family val="2"/>
          </rPr>
          <t xml:space="preserve">
Variable &lt; 25k 30%
&gt;=25k 35%</t>
        </r>
      </text>
    </comment>
  </commentList>
</comments>
</file>

<file path=xl/sharedStrings.xml><?xml version="1.0" encoding="utf-8"?>
<sst xmlns="http://schemas.openxmlformats.org/spreadsheetml/2006/main" count="705" uniqueCount="407">
  <si>
    <t>Distributor Profit Analysis</t>
  </si>
  <si>
    <t xml:space="preserve">COMM % </t>
  </si>
  <si>
    <t>REVENUE</t>
  </si>
  <si>
    <t>INVENTORY</t>
  </si>
  <si>
    <t>INV Carry Cost (18MO ROI)</t>
  </si>
  <si>
    <t>COMMISSION</t>
  </si>
  <si>
    <t>Brian Sullivan</t>
  </si>
  <si>
    <t>Dale Leibert</t>
  </si>
  <si>
    <t>Stocking</t>
  </si>
  <si>
    <t>Bright Williamson</t>
  </si>
  <si>
    <t>Kevin Burton</t>
  </si>
  <si>
    <t>Ernie Krull</t>
  </si>
  <si>
    <t>Lance Newton</t>
  </si>
  <si>
    <t>CGS</t>
  </si>
  <si>
    <t>Tony Panoussi</t>
  </si>
  <si>
    <t>Ron Williams</t>
  </si>
  <si>
    <t>Rick Schaefer</t>
  </si>
  <si>
    <t>Bill Loftus</t>
  </si>
  <si>
    <t>Lisa Hemmerling</t>
  </si>
  <si>
    <t>Ryan McGhee</t>
  </si>
  <si>
    <t>Prime Medical</t>
  </si>
  <si>
    <t>SoCal Spine</t>
  </si>
  <si>
    <t>Med-X Surgical</t>
  </si>
  <si>
    <t>Assoc Spine</t>
  </si>
  <si>
    <t>Minnesota Surgical Solutions</t>
  </si>
  <si>
    <t>Optimus Medical Innovations</t>
  </si>
  <si>
    <t>Schaefer Specialties</t>
  </si>
  <si>
    <t>RJW Enterprises</t>
  </si>
  <si>
    <t>Trident Medical</t>
  </si>
  <si>
    <t>Genesis Medical</t>
  </si>
  <si>
    <t>LC Medical</t>
  </si>
  <si>
    <t>Principal</t>
  </si>
  <si>
    <t>Company</t>
  </si>
  <si>
    <t>CGS - Dist</t>
  </si>
  <si>
    <t>CGS - Bulk</t>
  </si>
  <si>
    <t>Chad Taylor</t>
  </si>
  <si>
    <t>2214 &amp; 3000</t>
  </si>
  <si>
    <t>Arkansas Surgical</t>
  </si>
  <si>
    <t>Josh Ridge</t>
  </si>
  <si>
    <t>Midwest Surgical</t>
  </si>
  <si>
    <t>Nate Griffin</t>
  </si>
  <si>
    <t>Rev per Analysis</t>
  </si>
  <si>
    <t>Dif</t>
  </si>
  <si>
    <t>Darren Jackson</t>
  </si>
  <si>
    <t>Kinect Group</t>
  </si>
  <si>
    <t>Sheryl Wilson</t>
  </si>
  <si>
    <t>Spinal Logistics &amp; Device</t>
  </si>
  <si>
    <t>Evolution Spine</t>
  </si>
  <si>
    <t>Ashton Kouzbari</t>
  </si>
  <si>
    <t>Spine Fusion</t>
  </si>
  <si>
    <t>Reconciliation Section</t>
  </si>
  <si>
    <t>3%/30%</t>
  </si>
  <si>
    <t>Tarek Hamandi</t>
  </si>
  <si>
    <t>Jordan Henson</t>
  </si>
  <si>
    <t>Blaze Medical</t>
  </si>
  <si>
    <t>Dave Stridde</t>
  </si>
  <si>
    <t>On-Belay Medical</t>
  </si>
  <si>
    <t>Palmetto Spine</t>
  </si>
  <si>
    <t>Alex Hu</t>
  </si>
  <si>
    <t>Silvercord</t>
  </si>
  <si>
    <t>Mark Howat</t>
  </si>
  <si>
    <t>Phoenix Surgical</t>
  </si>
  <si>
    <t>Phillip Connolly</t>
  </si>
  <si>
    <t>Surgical Evolution</t>
  </si>
  <si>
    <t>Josh Heath</t>
  </si>
  <si>
    <t>Scenic City Device</t>
  </si>
  <si>
    <t>Andres Vega</t>
  </si>
  <si>
    <t>NS Global Solutions</t>
  </si>
  <si>
    <t>Frank Testa</t>
  </si>
  <si>
    <t>Dynamic Surgical Solutions</t>
  </si>
  <si>
    <t>CA</t>
  </si>
  <si>
    <t>TN</t>
  </si>
  <si>
    <t>SC</t>
  </si>
  <si>
    <t>GA</t>
  </si>
  <si>
    <t>OH</t>
  </si>
  <si>
    <t>AL</t>
  </si>
  <si>
    <t>SD</t>
  </si>
  <si>
    <t>LA</t>
  </si>
  <si>
    <t>IN</t>
  </si>
  <si>
    <t>MS</t>
  </si>
  <si>
    <t>FL</t>
  </si>
  <si>
    <t>MN</t>
  </si>
  <si>
    <t>NV</t>
  </si>
  <si>
    <t>NY</t>
  </si>
  <si>
    <t>NJ</t>
  </si>
  <si>
    <t>TX</t>
  </si>
  <si>
    <t>AZ</t>
  </si>
  <si>
    <t>KS</t>
  </si>
  <si>
    <t>AR</t>
  </si>
  <si>
    <t>Inventory %  Rev/Inv</t>
  </si>
  <si>
    <t>State</t>
  </si>
  <si>
    <t>Whse</t>
  </si>
  <si>
    <t>Eric Buescher</t>
  </si>
  <si>
    <t>Orthostat LLC</t>
  </si>
  <si>
    <t>Terrell Caffery</t>
  </si>
  <si>
    <t>Height Medical</t>
  </si>
  <si>
    <t>Revenue</t>
  </si>
  <si>
    <t>OK</t>
  </si>
  <si>
    <t>Scott Hager</t>
  </si>
  <si>
    <t>Synergy Surgical</t>
  </si>
  <si>
    <t>Philippe Laurito</t>
  </si>
  <si>
    <t>SpineUp Inc</t>
  </si>
  <si>
    <t>VA</t>
  </si>
  <si>
    <t>NC</t>
  </si>
  <si>
    <t>Jonathan Knickerbocker</t>
  </si>
  <si>
    <t>PA</t>
  </si>
  <si>
    <t>Ray Marshall</t>
  </si>
  <si>
    <t>Duma Co Sciences</t>
  </si>
  <si>
    <t>Adam Busto</t>
  </si>
  <si>
    <t>Medicus Memores</t>
  </si>
  <si>
    <t>2152/2966</t>
  </si>
  <si>
    <t>Johnny Wase/Chip Hasty</t>
  </si>
  <si>
    <t>Nick Daddario</t>
  </si>
  <si>
    <t>KJM Biomedical</t>
  </si>
  <si>
    <t>Peter Harris</t>
  </si>
  <si>
    <t>FloSpine</t>
  </si>
  <si>
    <t>Brandon Elrod</t>
  </si>
  <si>
    <t>Guardian Spine</t>
  </si>
  <si>
    <t>Christy Schaffer</t>
  </si>
  <si>
    <t>CAS Advisors</t>
  </si>
  <si>
    <t>CO</t>
  </si>
  <si>
    <t>Mountain</t>
  </si>
  <si>
    <t>James Vert</t>
  </si>
  <si>
    <t>JRV Alpha Inc</t>
  </si>
  <si>
    <t>Jim Pauwels</t>
  </si>
  <si>
    <t>Pedicle Medical</t>
  </si>
  <si>
    <t>Inserio Solutions</t>
  </si>
  <si>
    <t>SMR Medical</t>
  </si>
  <si>
    <t>Jaime Sherman</t>
  </si>
  <si>
    <t>House</t>
  </si>
  <si>
    <t>Region</t>
  </si>
  <si>
    <t>Central</t>
  </si>
  <si>
    <t>Eastern</t>
  </si>
  <si>
    <t>Western</t>
  </si>
  <si>
    <t>Central/Stocking</t>
  </si>
  <si>
    <t>Eastern/Stocking</t>
  </si>
  <si>
    <t>Central - Std Distributors</t>
  </si>
  <si>
    <t>Eastern - Std Distributors</t>
  </si>
  <si>
    <t>Western - Std Distributors</t>
  </si>
  <si>
    <t>Central - Stocking Distributors</t>
  </si>
  <si>
    <t>Eastern - Stocking Distributors</t>
  </si>
  <si>
    <t>Travis Guenther</t>
  </si>
  <si>
    <t>Golden Date Surgical</t>
  </si>
  <si>
    <t>Bill Peavey</t>
  </si>
  <si>
    <t>ValTroyGray LLC</t>
  </si>
  <si>
    <t>Mountain - Std Distributors</t>
  </si>
  <si>
    <t>Rev per Matrixx Sum or Inv  Sum</t>
  </si>
  <si>
    <t>Il</t>
  </si>
  <si>
    <t>Trey Bacon</t>
  </si>
  <si>
    <t>SA Surgical LLC</t>
  </si>
  <si>
    <t>Doug Bardasian</t>
  </si>
  <si>
    <t>Ken Portillo</t>
  </si>
  <si>
    <t>IG Medical</t>
  </si>
  <si>
    <t>Jay Hodgkin</t>
  </si>
  <si>
    <t>Pineland Medical</t>
  </si>
  <si>
    <t>Leap Surgical</t>
  </si>
  <si>
    <t>Mason Maltz</t>
  </si>
  <si>
    <t>Marc Deshotel</t>
  </si>
  <si>
    <t>Mallard Medical</t>
  </si>
  <si>
    <t>Scott Smith</t>
  </si>
  <si>
    <t>Maxtown Medical</t>
  </si>
  <si>
    <t>Southern - Std Distributors</t>
  </si>
  <si>
    <t>Southern - Stocking Distributors</t>
  </si>
  <si>
    <t>Southern/Stocking</t>
  </si>
  <si>
    <t>Nicole Juber</t>
  </si>
  <si>
    <t>Baumjuber</t>
  </si>
  <si>
    <t>WY</t>
  </si>
  <si>
    <t>Southern</t>
  </si>
  <si>
    <t>Albert Turgon/Holden Calhoon</t>
  </si>
  <si>
    <t>Cibolo Spine</t>
  </si>
  <si>
    <t>TN/EL</t>
  </si>
  <si>
    <t>Kenneth Shreeve</t>
  </si>
  <si>
    <t>Fuzion Medical</t>
  </si>
  <si>
    <t>Albert Turgon</t>
  </si>
  <si>
    <t>Operating Room Specialist</t>
  </si>
  <si>
    <t>Harley Fexer</t>
  </si>
  <si>
    <t>H3 Solutions LLC</t>
  </si>
  <si>
    <t>John McCleary</t>
  </si>
  <si>
    <t>JAM Medical</t>
  </si>
  <si>
    <t>UT</t>
  </si>
  <si>
    <t>Bret Brody</t>
  </si>
  <si>
    <t>New Age Medical</t>
  </si>
  <si>
    <t>Audrey Le</t>
  </si>
  <si>
    <t>Ventura Medical</t>
  </si>
  <si>
    <t>Chris Walsh/Grimes</t>
  </si>
  <si>
    <t>Jared Bunn</t>
  </si>
  <si>
    <t>Viking Distribution</t>
  </si>
  <si>
    <t>John Hunt</t>
  </si>
  <si>
    <t>Steel Medical</t>
  </si>
  <si>
    <t>2354/2390</t>
  </si>
  <si>
    <t>Spine Fusion - Chile</t>
  </si>
  <si>
    <t>Deanna Myers</t>
  </si>
  <si>
    <t>Cognitive Kinetics</t>
  </si>
  <si>
    <t>Mike Budak</t>
  </si>
  <si>
    <t>Optima Surgical</t>
  </si>
  <si>
    <t>Robert Pace</t>
  </si>
  <si>
    <t>Osseus Fusion Systems</t>
  </si>
  <si>
    <t>Thomas Barrett</t>
  </si>
  <si>
    <t>Integrated Medical</t>
  </si>
  <si>
    <t>2407/2991</t>
  </si>
  <si>
    <t>Michael Fitzgerald</t>
  </si>
  <si>
    <t>Altus Spine</t>
  </si>
  <si>
    <t>Ted Rowe</t>
  </si>
  <si>
    <t>Medical Edge Tech</t>
  </si>
  <si>
    <t>Dave Poirier</t>
  </si>
  <si>
    <t>Presidio Surgical</t>
  </si>
  <si>
    <t>Tom Batton</t>
  </si>
  <si>
    <t>Spine X Tech</t>
  </si>
  <si>
    <t>Trang Vinh/WBiomed</t>
  </si>
  <si>
    <t>Tricia Coppedge</t>
  </si>
  <si>
    <t>Northstate Surgical Devices</t>
  </si>
  <si>
    <t>Will Cannady</t>
  </si>
  <si>
    <t xml:space="preserve">Monolith Innovative </t>
  </si>
  <si>
    <t>Zach Lenz</t>
  </si>
  <si>
    <t>AltruMed</t>
  </si>
  <si>
    <t>Joe Melendes</t>
  </si>
  <si>
    <t>Perioperative Solutions</t>
  </si>
  <si>
    <t>Stacey Bonezzi</t>
  </si>
  <si>
    <t>Advantage Medical</t>
  </si>
  <si>
    <t>Brian Lehner</t>
  </si>
  <si>
    <t>Sentry Spine</t>
  </si>
  <si>
    <t>Clayton Hummel</t>
  </si>
  <si>
    <t>Spine Enthusiast</t>
  </si>
  <si>
    <t xml:space="preserve">Gross Profit </t>
  </si>
  <si>
    <t>Gross Profit</t>
  </si>
  <si>
    <t>Williamson</t>
  </si>
  <si>
    <t>Ryan Stokes</t>
  </si>
  <si>
    <t>Soze Medical</t>
  </si>
  <si>
    <t>Mike Brewster</t>
  </si>
  <si>
    <t>Elite Spinal LLC</t>
  </si>
  <si>
    <t>David Lewis</t>
  </si>
  <si>
    <t>Medinav LLC</t>
  </si>
  <si>
    <t>Geoffrey Jones</t>
  </si>
  <si>
    <t>Future Surgical</t>
  </si>
  <si>
    <t>Nicole Juber/Brian Schimmal</t>
  </si>
  <si>
    <t>Chuck Johnson</t>
  </si>
  <si>
    <t>Avi Marciano</t>
  </si>
  <si>
    <t>Medical Distributors</t>
  </si>
  <si>
    <t>Std</t>
  </si>
  <si>
    <t>Ryan Henning</t>
  </si>
  <si>
    <t>Atlas Medical</t>
  </si>
  <si>
    <t>Surgical Spectrum</t>
  </si>
  <si>
    <t>Juanita Francis</t>
  </si>
  <si>
    <t>Dave Babb</t>
  </si>
  <si>
    <t>Kase Medical</t>
  </si>
  <si>
    <t>Midwest</t>
  </si>
  <si>
    <t>KY/EL</t>
  </si>
  <si>
    <t>3G Medical</t>
  </si>
  <si>
    <t>Jerry Huber</t>
  </si>
  <si>
    <t>Common Sense Medical</t>
  </si>
  <si>
    <t>MO</t>
  </si>
  <si>
    <t>LA/JC</t>
  </si>
  <si>
    <t>Norberto Baez</t>
  </si>
  <si>
    <t>PR</t>
  </si>
  <si>
    <t>ActiveAid</t>
  </si>
  <si>
    <t>James Mendez</t>
  </si>
  <si>
    <t>Simba Management</t>
  </si>
  <si>
    <t>Deepak Luthra</t>
  </si>
  <si>
    <t>Auxein</t>
  </si>
  <si>
    <t>Mex</t>
  </si>
  <si>
    <t>Kwan Medical</t>
  </si>
  <si>
    <t>AGR</t>
  </si>
  <si>
    <t>Pablo Fernandez</t>
  </si>
  <si>
    <t>Bradey Lee</t>
  </si>
  <si>
    <t>Caleb Granger</t>
  </si>
  <si>
    <t>Apex Medical</t>
  </si>
  <si>
    <t>Michael Salmi</t>
  </si>
  <si>
    <t>L&amp;K Spine</t>
  </si>
  <si>
    <t>RBT Solutions</t>
  </si>
  <si>
    <t>Bobby Triglia</t>
  </si>
  <si>
    <t>FL/JC</t>
  </si>
  <si>
    <t>Rob Brooks</t>
  </si>
  <si>
    <t>Gulf States Medical</t>
  </si>
  <si>
    <t>Advanced Spine</t>
  </si>
  <si>
    <t>Lydia Timko</t>
  </si>
  <si>
    <t>Surgical Technology Ptr</t>
  </si>
  <si>
    <t>William Chapman</t>
  </si>
  <si>
    <t>Chandler Holderness</t>
  </si>
  <si>
    <t>Alliance Medica</t>
  </si>
  <si>
    <t>Milton Deppe</t>
  </si>
  <si>
    <t>Wuerth Medical</t>
  </si>
  <si>
    <t>IN/JC</t>
  </si>
  <si>
    <t>Taylor Edwards</t>
  </si>
  <si>
    <t>Hawktown Medical</t>
  </si>
  <si>
    <t>Patrick Dolan</t>
  </si>
  <si>
    <t>Stahurski Consulting</t>
  </si>
  <si>
    <t>JAP</t>
  </si>
  <si>
    <t>Nate Fuller</t>
  </si>
  <si>
    <t>Allegiant Health</t>
  </si>
  <si>
    <t>Andy Rule</t>
  </si>
  <si>
    <t>TKO Medical</t>
  </si>
  <si>
    <t>Ryan Dickinson</t>
  </si>
  <si>
    <t>Invictus Medical</t>
  </si>
  <si>
    <t>Michael Leatherman</t>
  </si>
  <si>
    <t>Leatherman Surgical</t>
  </si>
  <si>
    <t>GA/EL</t>
  </si>
  <si>
    <t>O'Connor Capital</t>
  </si>
  <si>
    <t>Chris O'Connor</t>
  </si>
  <si>
    <t>Brian Howell</t>
  </si>
  <si>
    <t>Epic Industries</t>
  </si>
  <si>
    <t>AdvaLife Solutions</t>
  </si>
  <si>
    <t>Zach Ducey</t>
  </si>
  <si>
    <t>MO/EP</t>
  </si>
  <si>
    <t>TN/KC</t>
  </si>
  <si>
    <t>Carri Person</t>
  </si>
  <si>
    <t>Donohoe &amp; Assoc</t>
  </si>
  <si>
    <t>KC</t>
  </si>
  <si>
    <t>Patrick Mertes</t>
  </si>
  <si>
    <t>Magnolia Surgical</t>
  </si>
  <si>
    <t>Mefford Williams</t>
  </si>
  <si>
    <t>Mefford Montgomery Williams</t>
  </si>
  <si>
    <t>NC/RH</t>
  </si>
  <si>
    <t>Bobby Houser</t>
  </si>
  <si>
    <t>AZ Spinal Implants</t>
  </si>
  <si>
    <t>Taylor Wilson</t>
  </si>
  <si>
    <t>InnoTec LLC</t>
  </si>
  <si>
    <t>Sloan Beatty</t>
  </si>
  <si>
    <t>Spine Source Inc</t>
  </si>
  <si>
    <t>CO/JB</t>
  </si>
  <si>
    <t>Ryan Smith</t>
  </si>
  <si>
    <t>SurgX Medical</t>
  </si>
  <si>
    <t>WY/JB</t>
  </si>
  <si>
    <t>Cameron Allen</t>
  </si>
  <si>
    <t>Wind River LLC</t>
  </si>
  <si>
    <t>Dan Tighe</t>
  </si>
  <si>
    <t>MD Medical LLC</t>
  </si>
  <si>
    <t>Kiley Escamilla</t>
  </si>
  <si>
    <t>Windward Management</t>
  </si>
  <si>
    <t>Mark Russell</t>
  </si>
  <si>
    <t>Platinum Spine</t>
  </si>
  <si>
    <t>MO/JB</t>
  </si>
  <si>
    <t>Joseph De Mena</t>
  </si>
  <si>
    <t>Remedy Corp</t>
  </si>
  <si>
    <t>Anthony Dowling</t>
  </si>
  <si>
    <t>K&amp;D Medical</t>
  </si>
  <si>
    <t>F2 Medical Products</t>
  </si>
  <si>
    <t>Nicole Fontana</t>
  </si>
  <si>
    <t>TX/EL</t>
  </si>
  <si>
    <t>Barry Griffin</t>
  </si>
  <si>
    <t>Griffin Surgical and Spine</t>
  </si>
  <si>
    <t>Hidefumi Goto</t>
  </si>
  <si>
    <t>Creekwater Medical</t>
  </si>
  <si>
    <t>Derek Collins</t>
  </si>
  <si>
    <t>Surgical Service</t>
  </si>
  <si>
    <t>Usman Barber/Anam Hussain</t>
  </si>
  <si>
    <t>Simba Management LLC</t>
  </si>
  <si>
    <t>Brian Ormsby</t>
  </si>
  <si>
    <t>Empyrean Distrib. LLC</t>
  </si>
  <si>
    <t>Empire Medical</t>
  </si>
  <si>
    <t>Scott Carboni</t>
  </si>
  <si>
    <t>Avery Lanman</t>
  </si>
  <si>
    <t>Apollo Solutions Inc</t>
  </si>
  <si>
    <t>Pro Solutions</t>
  </si>
  <si>
    <t>Dave Jensen</t>
  </si>
  <si>
    <t>TX/JB</t>
  </si>
  <si>
    <t>Hope Snyder</t>
  </si>
  <si>
    <t>Trinity Medical</t>
  </si>
  <si>
    <t>John Siegel</t>
  </si>
  <si>
    <t>LJS Medical Products</t>
  </si>
  <si>
    <t>2538/2455</t>
  </si>
  <si>
    <t>Byron Giddens</t>
  </si>
  <si>
    <t>Black Diamond Medical</t>
  </si>
  <si>
    <t>Tony Capute</t>
  </si>
  <si>
    <t>Briggs &amp; Valentine LLC</t>
  </si>
  <si>
    <t>FL/KW</t>
  </si>
  <si>
    <t>KW</t>
  </si>
  <si>
    <t>Diverse Spine</t>
  </si>
  <si>
    <t>3rd Quarter 2025</t>
  </si>
  <si>
    <t>July</t>
  </si>
  <si>
    <t>Aug</t>
  </si>
  <si>
    <t>Sept</t>
  </si>
  <si>
    <t>Biocast/Oxilium</t>
  </si>
  <si>
    <t>Yul Lozano</t>
  </si>
  <si>
    <t>Motion Moment Medical</t>
  </si>
  <si>
    <t>Sterling Medical</t>
  </si>
  <si>
    <t>Nick Harley</t>
  </si>
  <si>
    <t>Jase Kreitner</t>
  </si>
  <si>
    <t>Core Group Medical</t>
  </si>
  <si>
    <t>Orthovision</t>
  </si>
  <si>
    <t>Doug Neary</t>
  </si>
  <si>
    <t>PKM Interest</t>
  </si>
  <si>
    <t>Cynthia Murdoch</t>
  </si>
  <si>
    <t>Robert Pfefferkorn</t>
  </si>
  <si>
    <t>Nick Grossman</t>
  </si>
  <si>
    <t>Maverick Medical</t>
  </si>
  <si>
    <t>Intermed</t>
  </si>
  <si>
    <t>Paul Dulanto</t>
  </si>
  <si>
    <t>Panda Sales Corp</t>
  </si>
  <si>
    <t>Lawson Swan</t>
  </si>
  <si>
    <t>Integrity Applied Sciences</t>
  </si>
  <si>
    <t>Jim Wall</t>
  </si>
  <si>
    <t>Florida Medical Consultants</t>
  </si>
  <si>
    <t>Double D Ventures</t>
  </si>
  <si>
    <t>Danny Dunford</t>
  </si>
  <si>
    <t>Gordon Yewman</t>
  </si>
  <si>
    <t>Mystique Medical LLC</t>
  </si>
  <si>
    <t>Less N/A</t>
  </si>
  <si>
    <t>Spine Gear</t>
  </si>
  <si>
    <t>Bilal Abdur-Rahman</t>
  </si>
  <si>
    <t>David Flickinger</t>
  </si>
  <si>
    <t>Intuitive X Medsolution</t>
  </si>
  <si>
    <t>WA</t>
  </si>
  <si>
    <t>C2 Consultants LLC</t>
  </si>
  <si>
    <t>Laura Lee</t>
  </si>
  <si>
    <t>Two Vets Medical</t>
  </si>
  <si>
    <t>Rob Quinn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</si>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</sst>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&quot;$&quot;* #,##0_);_(&quot;$&quot;* \(#,##0\);_(&quot;$&quot;* &quot;-&quot;??_);_(@_)"/>
    <numFmt numFmtId="166" formatCode="_(* #,##0_);_(* \(#,##0\);_(* &quot;-&quot;??_);_(@_)"/>
    <numFmt numFmtId="167" formatCode="0.0%"/>
    <numFmt numFmtId="168" formatCode="_-&quot;$&quot;* #,##0_-;\-&quot;$&quot;* #,##0_-;_-&quot;$&quot;* &quot;-&quot;??_-;_-@_-"/>
    <numFmt numFmtId="169" formatCode="&quot;$&quot;#,##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</font>
    <font>
      <b/>
      <sz val="14"/>
      <name val="Times New Roman"/>
      <family val="1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8"/>
      <color indexed="81"/>
      <name val="Tahoma"/>
      <family val="2"/>
    </font>
    <font>
      <u/>
      <sz val="8"/>
      <name val="Calibri"/>
      <family val="2"/>
      <scheme val="minor"/>
    </font>
    <font>
      <u val="singleAccounting"/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15FC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0">
    <xf numFmtId="0" fontId="0" fillId="0" borderId="0" xfId="0"/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2" fontId="5" fillId="4" borderId="5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indent="1"/>
    </xf>
    <xf numFmtId="0" fontId="7" fillId="0" borderId="6" xfId="0" applyFont="1" applyBorder="1" applyAlignment="1">
      <alignment horizontal="left"/>
    </xf>
    <xf numFmtId="42" fontId="6" fillId="5" borderId="6" xfId="1" applyNumberFormat="1" applyFont="1" applyFill="1" applyBorder="1" applyAlignment="1">
      <alignment horizontal="right"/>
    </xf>
    <xf numFmtId="42" fontId="8" fillId="5" borderId="6" xfId="1" applyNumberFormat="1" applyFont="1" applyFill="1" applyBorder="1" applyAlignment="1">
      <alignment horizontal="right"/>
    </xf>
    <xf numFmtId="42" fontId="6" fillId="6" borderId="6" xfId="1" applyNumberFormat="1" applyFont="1" applyFill="1" applyBorder="1" applyAlignment="1">
      <alignment horizontal="right"/>
    </xf>
    <xf numFmtId="42" fontId="8" fillId="6" borderId="6" xfId="1" applyNumberFormat="1" applyFont="1" applyFill="1" applyBorder="1" applyAlignment="1">
      <alignment horizontal="right"/>
    </xf>
    <xf numFmtId="42" fontId="6" fillId="7" borderId="6" xfId="1" applyNumberFormat="1" applyFont="1" applyFill="1" applyBorder="1" applyAlignment="1">
      <alignment horizontal="right"/>
    </xf>
    <xf numFmtId="42" fontId="8" fillId="7" borderId="6" xfId="1" applyNumberFormat="1" applyFont="1" applyFill="1" applyBorder="1" applyAlignment="1">
      <alignment horizontal="right"/>
    </xf>
    <xf numFmtId="0" fontId="9" fillId="0" borderId="0" xfId="0" applyFont="1" applyAlignment="1">
      <alignment horizontal="right" indent="1"/>
    </xf>
    <xf numFmtId="42" fontId="0" fillId="0" borderId="0" xfId="1" applyNumberFormat="1" applyFont="1"/>
    <xf numFmtId="42" fontId="0" fillId="0" borderId="0" xfId="0" applyNumberFormat="1"/>
    <xf numFmtId="165" fontId="8" fillId="5" borderId="6" xfId="1" applyNumberFormat="1" applyFont="1" applyFill="1" applyBorder="1" applyAlignment="1">
      <alignment horizontal="right"/>
    </xf>
    <xf numFmtId="165" fontId="8" fillId="6" borderId="6" xfId="1" applyNumberFormat="1" applyFont="1" applyFill="1" applyBorder="1" applyAlignment="1">
      <alignment horizontal="right"/>
    </xf>
    <xf numFmtId="165" fontId="8" fillId="7" borderId="6" xfId="1" applyNumberFormat="1" applyFont="1" applyFill="1" applyBorder="1" applyAlignment="1">
      <alignment horizontal="right"/>
    </xf>
    <xf numFmtId="42" fontId="2" fillId="0" borderId="0" xfId="0" applyNumberFormat="1" applyFont="1" applyAlignment="1">
      <alignment vertical="center"/>
    </xf>
    <xf numFmtId="42" fontId="3" fillId="0" borderId="0" xfId="0" applyNumberFormat="1" applyFont="1"/>
    <xf numFmtId="0" fontId="3" fillId="0" borderId="0" xfId="0" applyFont="1"/>
    <xf numFmtId="0" fontId="14" fillId="0" borderId="0" xfId="0" applyFont="1"/>
    <xf numFmtId="42" fontId="7" fillId="0" borderId="0" xfId="0" applyNumberFormat="1" applyFont="1"/>
    <xf numFmtId="4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2" fontId="2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42" fontId="8" fillId="8" borderId="6" xfId="1" applyNumberFormat="1" applyFont="1" applyFill="1" applyBorder="1" applyAlignment="1">
      <alignment horizontal="right"/>
    </xf>
    <xf numFmtId="42" fontId="6" fillId="8" borderId="6" xfId="1" applyNumberFormat="1" applyFont="1" applyFill="1" applyBorder="1" applyAlignment="1">
      <alignment horizontal="right"/>
    </xf>
    <xf numFmtId="1" fontId="12" fillId="0" borderId="6" xfId="0" quotePrefix="1" applyNumberFormat="1" applyFont="1" applyBorder="1" applyAlignment="1">
      <alignment horizontal="center"/>
    </xf>
    <xf numFmtId="42" fontId="8" fillId="5" borderId="8" xfId="1" applyNumberFormat="1" applyFont="1" applyFill="1" applyBorder="1" applyAlignment="1">
      <alignment horizontal="right"/>
    </xf>
    <xf numFmtId="0" fontId="15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/>
    </xf>
    <xf numFmtId="166" fontId="8" fillId="0" borderId="0" xfId="3" applyNumberFormat="1" applyFont="1"/>
    <xf numFmtId="42" fontId="14" fillId="0" borderId="0" xfId="0" applyNumberFormat="1" applyFont="1"/>
    <xf numFmtId="42" fontId="8" fillId="5" borderId="6" xfId="4" applyNumberFormat="1" applyFont="1" applyFill="1" applyBorder="1" applyAlignment="1">
      <alignment horizontal="right"/>
    </xf>
    <xf numFmtId="9" fontId="7" fillId="0" borderId="0" xfId="2" applyFont="1" applyFill="1" applyBorder="1" applyAlignment="1">
      <alignment horizontal="center"/>
    </xf>
    <xf numFmtId="42" fontId="8" fillId="0" borderId="0" xfId="1" applyNumberFormat="1" applyFont="1" applyFill="1" applyBorder="1" applyAlignment="1">
      <alignment horizontal="right"/>
    </xf>
    <xf numFmtId="42" fontId="6" fillId="0" borderId="0" xfId="1" applyNumberFormat="1" applyFont="1" applyFill="1" applyBorder="1" applyAlignment="1">
      <alignment horizontal="right"/>
    </xf>
    <xf numFmtId="42" fontId="8" fillId="0" borderId="0" xfId="4" applyNumberFormat="1" applyFont="1" applyFill="1" applyBorder="1" applyAlignment="1">
      <alignment horizontal="right"/>
    </xf>
    <xf numFmtId="165" fontId="8" fillId="0" borderId="0" xfId="1" applyNumberFormat="1" applyFont="1" applyFill="1" applyBorder="1" applyAlignment="1">
      <alignment horizontal="right"/>
    </xf>
    <xf numFmtId="42" fontId="14" fillId="0" borderId="0" xfId="1" applyNumberFormat="1" applyFont="1"/>
    <xf numFmtId="0" fontId="14" fillId="0" borderId="0" xfId="0" applyFont="1" applyAlignment="1">
      <alignment horizontal="center"/>
    </xf>
    <xf numFmtId="42" fontId="5" fillId="4" borderId="10" xfId="1" applyNumberFormat="1" applyFont="1" applyFill="1" applyBorder="1" applyAlignment="1">
      <alignment horizontal="center" vertical="center" wrapText="1"/>
    </xf>
    <xf numFmtId="9" fontId="8" fillId="5" borderId="6" xfId="2" applyFont="1" applyFill="1" applyBorder="1" applyAlignment="1">
      <alignment horizontal="right"/>
    </xf>
    <xf numFmtId="42" fontId="5" fillId="2" borderId="2" xfId="1" applyNumberFormat="1" applyFont="1" applyFill="1" applyBorder="1" applyAlignment="1">
      <alignment horizontal="center" vertical="center" wrapText="1"/>
    </xf>
    <xf numFmtId="9" fontId="8" fillId="6" borderId="6" xfId="2" applyFont="1" applyFill="1" applyBorder="1" applyAlignment="1">
      <alignment horizontal="right"/>
    </xf>
    <xf numFmtId="42" fontId="5" fillId="3" borderId="2" xfId="1" applyNumberFormat="1" applyFont="1" applyFill="1" applyBorder="1" applyAlignment="1">
      <alignment horizontal="center" vertical="center" wrapText="1"/>
    </xf>
    <xf numFmtId="9" fontId="8" fillId="7" borderId="6" xfId="2" applyFont="1" applyFill="1" applyBorder="1" applyAlignment="1">
      <alignment horizontal="right"/>
    </xf>
    <xf numFmtId="0" fontId="17" fillId="0" borderId="0" xfId="0" applyFont="1" applyAlignment="1">
      <alignment horizontal="left"/>
    </xf>
    <xf numFmtId="0" fontId="8" fillId="0" borderId="0" xfId="0" applyFont="1" applyAlignment="1">
      <alignment horizontal="right" inden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8" fillId="0" borderId="0" xfId="0" applyFont="1"/>
    <xf numFmtId="168" fontId="8" fillId="0" borderId="0" xfId="1" applyNumberFormat="1" applyFont="1" applyFill="1" applyBorder="1" applyAlignment="1">
      <alignment horizontal="right"/>
    </xf>
    <xf numFmtId="42" fontId="14" fillId="0" borderId="0" xfId="1" applyNumberFormat="1" applyFont="1" applyFill="1" applyBorder="1"/>
    <xf numFmtId="0" fontId="18" fillId="0" borderId="0" xfId="0" applyFont="1" applyAlignment="1">
      <alignment horizontal="center"/>
    </xf>
    <xf numFmtId="169" fontId="18" fillId="0" borderId="0" xfId="0" applyNumberFormat="1" applyFont="1"/>
    <xf numFmtId="0" fontId="19" fillId="0" borderId="6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9" fillId="0" borderId="6" xfId="0" applyFont="1" applyBorder="1"/>
    <xf numFmtId="9" fontId="8" fillId="0" borderId="0" xfId="2" applyFont="1" applyFill="1" applyBorder="1" applyAlignment="1">
      <alignment horizontal="right"/>
    </xf>
    <xf numFmtId="167" fontId="14" fillId="0" borderId="0" xfId="2" applyNumberFormat="1" applyFont="1" applyFill="1" applyBorder="1"/>
    <xf numFmtId="0" fontId="1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2" fontId="8" fillId="5" borderId="0" xfId="1" applyNumberFormat="1" applyFont="1" applyFill="1" applyBorder="1" applyAlignment="1">
      <alignment horizontal="right"/>
    </xf>
    <xf numFmtId="42" fontId="6" fillId="5" borderId="0" xfId="1" applyNumberFormat="1" applyFont="1" applyFill="1" applyBorder="1" applyAlignment="1">
      <alignment horizontal="right"/>
    </xf>
    <xf numFmtId="42" fontId="8" fillId="5" borderId="0" xfId="4" applyNumberFormat="1" applyFont="1" applyFill="1" applyBorder="1" applyAlignment="1">
      <alignment horizontal="right"/>
    </xf>
    <xf numFmtId="165" fontId="8" fillId="5" borderId="0" xfId="1" applyNumberFormat="1" applyFont="1" applyFill="1" applyBorder="1" applyAlignment="1">
      <alignment horizontal="right"/>
    </xf>
    <xf numFmtId="42" fontId="8" fillId="5" borderId="2" xfId="1" applyNumberFormat="1" applyFont="1" applyFill="1" applyBorder="1" applyAlignment="1">
      <alignment horizontal="right"/>
    </xf>
    <xf numFmtId="9" fontId="8" fillId="5" borderId="0" xfId="2" applyFont="1" applyFill="1" applyBorder="1" applyAlignment="1">
      <alignment horizontal="right"/>
    </xf>
    <xf numFmtId="42" fontId="8" fillId="6" borderId="0" xfId="1" applyNumberFormat="1" applyFont="1" applyFill="1" applyBorder="1" applyAlignment="1">
      <alignment horizontal="right"/>
    </xf>
    <xf numFmtId="42" fontId="6" fillId="6" borderId="0" xfId="1" applyNumberFormat="1" applyFont="1" applyFill="1" applyBorder="1" applyAlignment="1">
      <alignment horizontal="right"/>
    </xf>
    <xf numFmtId="165" fontId="8" fillId="6" borderId="0" xfId="1" applyNumberFormat="1" applyFont="1" applyFill="1" applyBorder="1" applyAlignment="1">
      <alignment horizontal="right"/>
    </xf>
    <xf numFmtId="9" fontId="8" fillId="6" borderId="0" xfId="2" applyFont="1" applyFill="1" applyBorder="1" applyAlignment="1">
      <alignment horizontal="right"/>
    </xf>
    <xf numFmtId="42" fontId="8" fillId="7" borderId="0" xfId="1" applyNumberFormat="1" applyFont="1" applyFill="1" applyBorder="1" applyAlignment="1">
      <alignment horizontal="right"/>
    </xf>
    <xf numFmtId="42" fontId="6" fillId="7" borderId="0" xfId="1" applyNumberFormat="1" applyFont="1" applyFill="1" applyBorder="1" applyAlignment="1">
      <alignment horizontal="right"/>
    </xf>
    <xf numFmtId="165" fontId="8" fillId="7" borderId="0" xfId="1" applyNumberFormat="1" applyFont="1" applyFill="1" applyBorder="1" applyAlignment="1">
      <alignment horizontal="right"/>
    </xf>
    <xf numFmtId="9" fontId="8" fillId="7" borderId="0" xfId="2" applyFont="1" applyFill="1" applyBorder="1" applyAlignment="1">
      <alignment horizontal="right"/>
    </xf>
    <xf numFmtId="42" fontId="8" fillId="5" borderId="2" xfId="0" applyNumberFormat="1" applyFont="1" applyFill="1" applyBorder="1"/>
    <xf numFmtId="42" fontId="8" fillId="5" borderId="0" xfId="0" applyNumberFormat="1" applyFont="1" applyFill="1"/>
    <xf numFmtId="42" fontId="8" fillId="5" borderId="2" xfId="1" applyNumberFormat="1" applyFont="1" applyFill="1" applyBorder="1"/>
    <xf numFmtId="42" fontId="8" fillId="6" borderId="0" xfId="0" applyNumberFormat="1" applyFont="1" applyFill="1"/>
    <xf numFmtId="42" fontId="8" fillId="7" borderId="0" xfId="0" applyNumberFormat="1" applyFont="1" applyFill="1"/>
    <xf numFmtId="42" fontId="8" fillId="6" borderId="2" xfId="1" applyNumberFormat="1" applyFont="1" applyFill="1" applyBorder="1" applyAlignment="1">
      <alignment horizontal="right"/>
    </xf>
    <xf numFmtId="42" fontId="8" fillId="6" borderId="2" xfId="0" applyNumberFormat="1" applyFont="1" applyFill="1" applyBorder="1"/>
    <xf numFmtId="42" fontId="8" fillId="7" borderId="2" xfId="1" applyNumberFormat="1" applyFont="1" applyFill="1" applyBorder="1" applyAlignment="1">
      <alignment horizontal="right"/>
    </xf>
    <xf numFmtId="42" fontId="8" fillId="7" borderId="2" xfId="0" applyNumberFormat="1" applyFont="1" applyFill="1" applyBorder="1"/>
    <xf numFmtId="9" fontId="6" fillId="5" borderId="0" xfId="2" applyFont="1" applyFill="1" applyBorder="1" applyAlignment="1">
      <alignment horizontal="right"/>
    </xf>
    <xf numFmtId="9" fontId="14" fillId="0" borderId="0" xfId="2" applyFont="1"/>
    <xf numFmtId="9" fontId="14" fillId="0" borderId="0" xfId="2" applyFont="1" applyFill="1" applyAlignment="1">
      <alignment horizontal="center"/>
    </xf>
    <xf numFmtId="9" fontId="14" fillId="0" borderId="0" xfId="2" applyFont="1" applyAlignment="1">
      <alignment horizontal="center"/>
    </xf>
    <xf numFmtId="9" fontId="8" fillId="5" borderId="0" xfId="2" applyFont="1" applyFill="1" applyBorder="1"/>
    <xf numFmtId="9" fontId="14" fillId="6" borderId="0" xfId="2" applyFont="1" applyFill="1"/>
    <xf numFmtId="9" fontId="14" fillId="7" borderId="0" xfId="2" applyFont="1" applyFill="1"/>
    <xf numFmtId="9" fontId="6" fillId="6" borderId="0" xfId="2" applyFont="1" applyFill="1" applyBorder="1" applyAlignment="1">
      <alignment horizontal="right"/>
    </xf>
    <xf numFmtId="9" fontId="6" fillId="7" borderId="0" xfId="2" applyFont="1" applyFill="1" applyBorder="1" applyAlignment="1">
      <alignment horizontal="right"/>
    </xf>
    <xf numFmtId="9" fontId="18" fillId="0" borderId="0" xfId="0" applyNumberFormat="1" applyFont="1" applyAlignment="1">
      <alignment horizontal="center"/>
    </xf>
    <xf numFmtId="9" fontId="18" fillId="0" borderId="0" xfId="2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9" fontId="20" fillId="0" borderId="0" xfId="2" applyFont="1" applyFill="1" applyBorder="1" applyAlignment="1">
      <alignment horizontal="center"/>
    </xf>
    <xf numFmtId="9" fontId="20" fillId="0" borderId="0" xfId="0" applyNumberFormat="1" applyFont="1" applyAlignment="1">
      <alignment horizontal="center"/>
    </xf>
    <xf numFmtId="9" fontId="7" fillId="0" borderId="0" xfId="2" applyFont="1" applyFill="1" applyBorder="1"/>
    <xf numFmtId="43" fontId="7" fillId="0" borderId="0" xfId="3" applyFont="1" applyFill="1" applyBorder="1"/>
    <xf numFmtId="43" fontId="7" fillId="0" borderId="0" xfId="0" applyNumberFormat="1" applyFont="1"/>
    <xf numFmtId="167" fontId="14" fillId="0" borderId="0" xfId="1" applyNumberFormat="1" applyFont="1" applyFill="1" applyBorder="1"/>
    <xf numFmtId="166" fontId="8" fillId="0" borderId="0" xfId="3" applyNumberFormat="1" applyFont="1" applyFill="1"/>
    <xf numFmtId="166" fontId="8" fillId="0" borderId="0" xfId="3" applyNumberFormat="1" applyFont="1" applyFill="1" applyAlignment="1">
      <alignment horizontal="center"/>
    </xf>
    <xf numFmtId="166" fontId="8" fillId="0" borderId="0" xfId="3" applyNumberFormat="1" applyFont="1" applyFill="1" applyBorder="1"/>
    <xf numFmtId="166" fontId="8" fillId="0" borderId="0" xfId="3" applyNumberFormat="1" applyFont="1" applyAlignment="1">
      <alignment horizontal="center"/>
    </xf>
    <xf numFmtId="168" fontId="8" fillId="0" borderId="0" xfId="1" applyNumberFormat="1" applyFont="1" applyFill="1" applyBorder="1"/>
    <xf numFmtId="9" fontId="8" fillId="0" borderId="0" xfId="2" applyFont="1" applyFill="1" applyBorder="1"/>
    <xf numFmtId="166" fontId="8" fillId="0" borderId="0" xfId="3" applyNumberFormat="1" applyFont="1" applyFill="1" applyBorder="1" applyAlignment="1">
      <alignment horizontal="center"/>
    </xf>
    <xf numFmtId="43" fontId="8" fillId="0" borderId="0" xfId="3" applyFont="1" applyFill="1" applyBorder="1"/>
    <xf numFmtId="0" fontId="22" fillId="0" borderId="0" xfId="0" applyFont="1" applyAlignment="1">
      <alignment horizontal="center"/>
    </xf>
    <xf numFmtId="9" fontId="7" fillId="0" borderId="6" xfId="2" applyFont="1" applyFill="1" applyBorder="1" applyAlignment="1">
      <alignment horizontal="center"/>
    </xf>
    <xf numFmtId="9" fontId="8" fillId="0" borderId="6" xfId="2" applyFont="1" applyFill="1" applyBorder="1" applyAlignment="1">
      <alignment horizontal="center"/>
    </xf>
    <xf numFmtId="9" fontId="8" fillId="0" borderId="0" xfId="2" applyFont="1" applyFill="1" applyBorder="1" applyAlignment="1">
      <alignment horizontal="center"/>
    </xf>
    <xf numFmtId="9" fontId="8" fillId="9" borderId="6" xfId="2" applyFont="1" applyFill="1" applyBorder="1" applyAlignment="1">
      <alignment horizontal="center"/>
    </xf>
    <xf numFmtId="9" fontId="7" fillId="9" borderId="6" xfId="2" applyFont="1" applyFill="1" applyBorder="1" applyAlignment="1">
      <alignment horizontal="center"/>
    </xf>
    <xf numFmtId="42" fontId="8" fillId="6" borderId="2" xfId="1" applyNumberFormat="1" applyFont="1" applyFill="1" applyBorder="1"/>
    <xf numFmtId="9" fontId="8" fillId="6" borderId="0" xfId="2" applyFont="1" applyFill="1" applyBorder="1"/>
    <xf numFmtId="42" fontId="8" fillId="7" borderId="2" xfId="1" applyNumberFormat="1" applyFont="1" applyFill="1" applyBorder="1"/>
    <xf numFmtId="9" fontId="8" fillId="7" borderId="0" xfId="2" applyFont="1" applyFill="1" applyBorder="1"/>
    <xf numFmtId="166" fontId="23" fillId="0" borderId="0" xfId="3" applyNumberFormat="1" applyFont="1" applyFill="1" applyBorder="1" applyAlignment="1">
      <alignment horizontal="center"/>
    </xf>
    <xf numFmtId="0" fontId="18" fillId="0" borderId="0" xfId="0" applyFont="1"/>
    <xf numFmtId="42" fontId="8" fillId="0" borderId="0" xfId="1" applyNumberFormat="1" applyFont="1" applyFill="1"/>
    <xf numFmtId="42" fontId="14" fillId="0" borderId="0" xfId="1" applyNumberFormat="1" applyFont="1" applyFill="1"/>
    <xf numFmtId="9" fontId="18" fillId="0" borderId="0" xfId="2" applyFont="1" applyFill="1" applyAlignment="1">
      <alignment horizontal="center"/>
    </xf>
    <xf numFmtId="43" fontId="8" fillId="0" borderId="0" xfId="3" applyFont="1" applyFill="1"/>
    <xf numFmtId="42" fontId="8" fillId="0" borderId="0" xfId="0" applyNumberFormat="1" applyFont="1"/>
    <xf numFmtId="166" fontId="8" fillId="0" borderId="0" xfId="3" applyNumberFormat="1" applyFont="1" applyFill="1" applyAlignment="1">
      <alignment horizontal="right"/>
    </xf>
    <xf numFmtId="166" fontId="14" fillId="0" borderId="0" xfId="0" applyNumberFormat="1" applyFont="1"/>
    <xf numFmtId="43" fontId="14" fillId="0" borderId="0" xfId="0" applyNumberFormat="1" applyFont="1"/>
    <xf numFmtId="9" fontId="8" fillId="0" borderId="0" xfId="2" applyFont="1"/>
    <xf numFmtId="9" fontId="8" fillId="0" borderId="0" xfId="2" applyFont="1" applyFill="1"/>
    <xf numFmtId="166" fontId="8" fillId="0" borderId="0" xfId="3" applyNumberFormat="1" applyFont="1" applyBorder="1"/>
    <xf numFmtId="9" fontId="8" fillId="5" borderId="6" xfId="2" applyFont="1" applyFill="1" applyBorder="1"/>
    <xf numFmtId="9" fontId="8" fillId="5" borderId="8" xfId="2" applyFont="1" applyFill="1" applyBorder="1"/>
    <xf numFmtId="42" fontId="8" fillId="5" borderId="2" xfId="2" applyNumberFormat="1" applyFont="1" applyFill="1" applyBorder="1"/>
    <xf numFmtId="42" fontId="8" fillId="5" borderId="0" xfId="2" applyNumberFormat="1" applyFont="1" applyFill="1" applyBorder="1"/>
    <xf numFmtId="42" fontId="8" fillId="6" borderId="2" xfId="2" applyNumberFormat="1" applyFont="1" applyFill="1" applyBorder="1"/>
    <xf numFmtId="42" fontId="8" fillId="6" borderId="0" xfId="2" applyNumberFormat="1" applyFont="1" applyFill="1" applyBorder="1"/>
    <xf numFmtId="42" fontId="8" fillId="7" borderId="2" xfId="2" applyNumberFormat="1" applyFont="1" applyFill="1" applyBorder="1"/>
    <xf numFmtId="42" fontId="8" fillId="7" borderId="0" xfId="2" applyNumberFormat="1" applyFont="1" applyFill="1" applyBorder="1"/>
    <xf numFmtId="0" fontId="19" fillId="0" borderId="6" xfId="0" applyFont="1" applyBorder="1" applyAlignment="1">
      <alignment horizontal="center"/>
    </xf>
    <xf numFmtId="0" fontId="5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42" fontId="5" fillId="10" borderId="5" xfId="1" applyNumberFormat="1" applyFont="1" applyFill="1" applyBorder="1" applyAlignment="1">
      <alignment horizontal="center" vertical="center" wrapText="1"/>
    </xf>
    <xf numFmtId="42" fontId="8" fillId="11" borderId="6" xfId="2" applyNumberFormat="1" applyFont="1" applyFill="1" applyBorder="1" applyAlignment="1">
      <alignment horizontal="right"/>
    </xf>
    <xf numFmtId="166" fontId="7" fillId="11" borderId="6" xfId="3" applyNumberFormat="1" applyFont="1" applyFill="1" applyBorder="1"/>
    <xf numFmtId="42" fontId="8" fillId="11" borderId="2" xfId="1" applyNumberFormat="1" applyFont="1" applyFill="1" applyBorder="1" applyAlignment="1">
      <alignment horizontal="right"/>
    </xf>
    <xf numFmtId="42" fontId="8" fillId="11" borderId="0" xfId="1" applyNumberFormat="1" applyFont="1" applyFill="1" applyBorder="1" applyAlignment="1">
      <alignment horizontal="right"/>
    </xf>
    <xf numFmtId="42" fontId="8" fillId="11" borderId="0" xfId="2" applyNumberFormat="1" applyFont="1" applyFill="1" applyBorder="1" applyAlignment="1">
      <alignment horizontal="right"/>
    </xf>
    <xf numFmtId="0" fontId="0" fillId="11" borderId="0" xfId="0" applyFill="1"/>
    <xf numFmtId="42" fontId="6" fillId="11" borderId="0" xfId="1" applyNumberFormat="1" applyFont="1" applyFill="1" applyBorder="1" applyAlignment="1">
      <alignment horizontal="right"/>
    </xf>
    <xf numFmtId="9" fontId="8" fillId="11" borderId="0" xfId="2" applyFont="1" applyFill="1" applyBorder="1" applyAlignment="1">
      <alignment horizontal="right"/>
    </xf>
    <xf numFmtId="42" fontId="8" fillId="11" borderId="2" xfId="0" applyNumberFormat="1" applyFont="1" applyFill="1" applyBorder="1"/>
    <xf numFmtId="42" fontId="8" fillId="11" borderId="0" xfId="0" applyNumberFormat="1" applyFont="1" applyFill="1"/>
    <xf numFmtId="9" fontId="14" fillId="11" borderId="0" xfId="2" applyFont="1" applyFill="1"/>
    <xf numFmtId="42" fontId="8" fillId="11" borderId="2" xfId="1" applyNumberFormat="1" applyFont="1" applyFill="1" applyBorder="1"/>
    <xf numFmtId="42" fontId="8" fillId="11" borderId="2" xfId="2" applyNumberFormat="1" applyFont="1" applyFill="1" applyBorder="1"/>
    <xf numFmtId="42" fontId="8" fillId="11" borderId="0" xfId="2" applyNumberFormat="1" applyFont="1" applyFill="1" applyBorder="1"/>
    <xf numFmtId="42" fontId="13" fillId="0" borderId="3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42" fontId="13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CCFF"/>
      <color rgb="FF2EF245"/>
      <color rgb="FFBDD7EE"/>
      <color rgb="FFFFCCFF"/>
      <color rgb="FFFF66FF"/>
      <color rgb="FFC6E0B4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4176-20F6-4154-9C3F-CB32B22B5463}">
  <sheetPr>
    <pageSetUpPr fitToPage="1"/>
  </sheetPr>
  <dimension ref="A1:AH230"/>
  <sheetViews>
    <sheetView tabSelected="1" view="pageBreakPreview" zoomScale="115" zoomScaleNormal="100" zoomScaleSheetLayoutView="115" workbookViewId="0">
      <pane xSplit="7" ySplit="3" topLeftCell="H4" activePane="bottomRight" state="frozen"/>
      <selection activeCell="Y33" sqref="Y33"/>
      <selection pane="topRight" activeCell="Y33" sqref="Y33"/>
      <selection pane="bottomLeft" activeCell="Y33" sqref="Y33"/>
      <selection pane="bottomRight" activeCell="I14" sqref="I14"/>
    </sheetView>
  </sheetViews>
  <sheetFormatPr defaultRowHeight="15.75" x14ac:dyDescent="0.25"/>
  <cols>
    <col min="1" max="1" width="1.125" customWidth="1"/>
    <col min="2" max="2" width="12.875" style="26" customWidth="1"/>
    <col min="3" max="3" width="14.25" style="26" customWidth="1"/>
    <col min="4" max="4" width="6" style="29" customWidth="1"/>
    <col min="5" max="5" width="10.75" style="29" bestFit="1" customWidth="1"/>
    <col min="6" max="6" width="8.5" style="29" customWidth="1"/>
    <col min="7" max="7" width="5.625" style="29" customWidth="1"/>
    <col min="8" max="8" width="8" customWidth="1"/>
    <col min="9" max="9" width="8.625" customWidth="1"/>
    <col min="10" max="10" width="10" customWidth="1"/>
    <col min="11" max="11" width="9.375" customWidth="1"/>
    <col min="12" max="12" width="9.5" customWidth="1"/>
    <col min="13" max="13" width="8.375" style="18" customWidth="1"/>
    <col min="14" max="14" width="6.5" style="18" customWidth="1"/>
    <col min="15" max="15" width="7.875" customWidth="1"/>
    <col min="16" max="16" width="6.5" customWidth="1"/>
    <col min="17" max="17" width="8.625" customWidth="1"/>
    <col min="18" max="18" width="7.375" customWidth="1"/>
    <col min="19" max="19" width="8.75" customWidth="1"/>
    <col min="20" max="20" width="7.625" customWidth="1"/>
    <col min="21" max="21" width="6.5" customWidth="1"/>
    <col min="22" max="22" width="8.125" bestFit="1" customWidth="1"/>
    <col min="23" max="23" width="7.25" bestFit="1" customWidth="1"/>
    <col min="24" max="24" width="8.125" style="26" customWidth="1"/>
    <col min="25" max="25" width="7.375" bestFit="1" customWidth="1"/>
    <col min="26" max="26" width="9.25" customWidth="1"/>
    <col min="27" max="27" width="9.625" bestFit="1" customWidth="1"/>
    <col min="28" max="28" width="6.5" customWidth="1"/>
    <col min="29" max="29" width="8.375" bestFit="1" customWidth="1"/>
  </cols>
  <sheetData>
    <row r="1" spans="1:34" ht="21.75" thickBot="1" x14ac:dyDescent="0.4">
      <c r="B1" s="23" t="s">
        <v>0</v>
      </c>
      <c r="C1" s="23"/>
      <c r="D1" s="30"/>
      <c r="E1" s="30"/>
      <c r="F1" s="30"/>
      <c r="G1" s="28"/>
      <c r="H1" s="23"/>
      <c r="I1" s="23"/>
      <c r="J1" s="23"/>
      <c r="K1" s="25"/>
      <c r="L1" s="23"/>
      <c r="M1" s="24"/>
      <c r="N1" s="24"/>
      <c r="O1" s="24"/>
      <c r="P1" s="24"/>
      <c r="Q1" s="23" t="s">
        <v>367</v>
      </c>
      <c r="R1" s="24"/>
      <c r="S1" s="24"/>
      <c r="T1" s="24"/>
      <c r="U1" s="24"/>
      <c r="V1" s="19"/>
      <c r="W1" s="19"/>
      <c r="X1" s="44"/>
      <c r="Y1" s="19"/>
      <c r="Z1" s="19"/>
      <c r="AA1" s="19"/>
      <c r="AB1" s="19"/>
      <c r="AC1" s="19"/>
    </row>
    <row r="2" spans="1:34" ht="21.75" thickBot="1" x14ac:dyDescent="0.4">
      <c r="B2" s="23"/>
      <c r="C2" s="23"/>
      <c r="D2" s="30"/>
      <c r="E2" s="30"/>
      <c r="F2" s="30"/>
      <c r="G2" s="28"/>
      <c r="H2" s="176" t="s">
        <v>368</v>
      </c>
      <c r="I2" s="177"/>
      <c r="J2" s="177"/>
      <c r="K2" s="177"/>
      <c r="L2" s="177"/>
      <c r="M2" s="177"/>
      <c r="N2" s="178"/>
      <c r="O2" s="176" t="s">
        <v>369</v>
      </c>
      <c r="P2" s="177"/>
      <c r="Q2" s="177"/>
      <c r="R2" s="177"/>
      <c r="S2" s="177"/>
      <c r="T2" s="177"/>
      <c r="U2" s="178"/>
      <c r="V2" s="176" t="s">
        <v>370</v>
      </c>
      <c r="W2" s="177"/>
      <c r="X2" s="177"/>
      <c r="Y2" s="177"/>
      <c r="Z2" s="177"/>
      <c r="AA2" s="177"/>
      <c r="AB2" s="178"/>
      <c r="AC2" s="176" t="s">
        <v>406</v>
      </c>
      <c r="AD2" s="177"/>
      <c r="AE2" s="177"/>
      <c r="AF2" s="177"/>
      <c r="AG2" s="177"/>
      <c r="AH2" s="177"/>
    </row>
    <row r="3" spans="1:34" ht="45.75" customHeight="1" thickBot="1" x14ac:dyDescent="0.3">
      <c r="A3" s="1"/>
      <c r="B3" s="38" t="s">
        <v>31</v>
      </c>
      <c r="C3" s="39" t="s">
        <v>32</v>
      </c>
      <c r="D3" s="39" t="s">
        <v>90</v>
      </c>
      <c r="E3" s="39" t="s">
        <v>130</v>
      </c>
      <c r="F3" s="41" t="s">
        <v>91</v>
      </c>
      <c r="G3" s="40" t="s">
        <v>1</v>
      </c>
      <c r="H3" s="2" t="s">
        <v>2</v>
      </c>
      <c r="I3" s="2" t="s">
        <v>13</v>
      </c>
      <c r="J3" s="2" t="s">
        <v>3</v>
      </c>
      <c r="K3" s="3" t="s">
        <v>4</v>
      </c>
      <c r="L3" s="2" t="s">
        <v>5</v>
      </c>
      <c r="M3" s="55" t="s">
        <v>223</v>
      </c>
      <c r="N3" s="55" t="s">
        <v>89</v>
      </c>
      <c r="O3" s="4" t="s">
        <v>2</v>
      </c>
      <c r="P3" s="4" t="s">
        <v>13</v>
      </c>
      <c r="Q3" s="4" t="s">
        <v>3</v>
      </c>
      <c r="R3" s="4" t="s">
        <v>4</v>
      </c>
      <c r="S3" s="4" t="s">
        <v>5</v>
      </c>
      <c r="T3" s="57" t="s">
        <v>224</v>
      </c>
      <c r="U3" s="57" t="s">
        <v>89</v>
      </c>
      <c r="V3" s="63" t="s">
        <v>96</v>
      </c>
      <c r="W3" s="5" t="s">
        <v>13</v>
      </c>
      <c r="X3" s="63" t="s">
        <v>3</v>
      </c>
      <c r="Y3" s="6" t="s">
        <v>4</v>
      </c>
      <c r="Z3" s="7" t="s">
        <v>5</v>
      </c>
      <c r="AA3" s="8" t="s">
        <v>224</v>
      </c>
      <c r="AB3" s="53" t="s">
        <v>89</v>
      </c>
      <c r="AC3" s="157" t="s">
        <v>96</v>
      </c>
      <c r="AD3" s="158" t="s">
        <v>13</v>
      </c>
      <c r="AE3" s="157" t="s">
        <v>3</v>
      </c>
      <c r="AF3" s="159" t="s">
        <v>4</v>
      </c>
      <c r="AG3" s="160" t="s">
        <v>5</v>
      </c>
      <c r="AH3" s="161" t="s">
        <v>224</v>
      </c>
    </row>
    <row r="4" spans="1:34" ht="4.5" customHeight="1" x14ac:dyDescent="0.25">
      <c r="A4" s="9"/>
      <c r="B4" s="61"/>
      <c r="C4" s="61"/>
      <c r="D4" s="33"/>
      <c r="E4" s="33"/>
      <c r="F4" s="33"/>
      <c r="G4" s="46"/>
      <c r="H4" s="47"/>
      <c r="I4" s="48"/>
      <c r="J4" s="49"/>
      <c r="K4" s="50"/>
      <c r="L4" s="48"/>
      <c r="M4" s="47"/>
      <c r="N4" s="47"/>
      <c r="O4" s="47"/>
      <c r="P4" s="48"/>
      <c r="Q4" s="47"/>
      <c r="R4" s="50"/>
      <c r="S4" s="48"/>
      <c r="T4" s="47"/>
      <c r="U4" s="47"/>
      <c r="V4" s="47"/>
      <c r="W4" s="48"/>
      <c r="X4" s="47"/>
      <c r="Y4" s="50"/>
      <c r="Z4" s="48"/>
      <c r="AA4" s="47"/>
      <c r="AB4" s="47"/>
      <c r="AC4" s="47"/>
    </row>
    <row r="5" spans="1:34" x14ac:dyDescent="0.25">
      <c r="A5" s="9"/>
      <c r="B5" s="70" t="s">
        <v>35</v>
      </c>
      <c r="C5" s="70" t="s">
        <v>29</v>
      </c>
      <c r="D5" s="31" t="s">
        <v>85</v>
      </c>
      <c r="E5" s="31" t="s">
        <v>131</v>
      </c>
      <c r="F5" s="31">
        <v>2525</v>
      </c>
      <c r="G5" s="126">
        <v>0.4</v>
      </c>
      <c r="H5" s="12">
        <v>18610</v>
      </c>
      <c r="I5" s="11">
        <f t="shared" ref="I5:I30" si="0">+H5*$G$181</f>
        <v>3349.7999999999997</v>
      </c>
      <c r="J5" s="45">
        <v>51891.199999999997</v>
      </c>
      <c r="K5" s="20">
        <f t="shared" ref="K5:K25" si="1">+J5/18</f>
        <v>2882.8444444444444</v>
      </c>
      <c r="L5" s="11">
        <f>IF(+H5&gt;0,+H5*$G5,0)</f>
        <v>7444</v>
      </c>
      <c r="M5" s="12">
        <f t="shared" ref="M5:M31" si="2">H5-(K5+L5+I5)</f>
        <v>4933.3555555555558</v>
      </c>
      <c r="N5" s="54">
        <f t="shared" ref="N5:N31" si="3">IF(H5&gt;0,IF(J5&gt;0,+H5/J5,"n/m"),0)</f>
        <v>0.35863499013320177</v>
      </c>
      <c r="O5" s="14">
        <v>18760</v>
      </c>
      <c r="P5" s="13">
        <f t="shared" ref="P5:P30" si="4">+O5*$G$181</f>
        <v>3376.7999999999997</v>
      </c>
      <c r="Q5" s="14">
        <v>50689.5</v>
      </c>
      <c r="R5" s="21">
        <f t="shared" ref="R5:R25" si="5">Q5/18</f>
        <v>2816.0833333333335</v>
      </c>
      <c r="S5" s="13">
        <f>IF(+O5&gt;0,+O5*$G5,0)</f>
        <v>7504</v>
      </c>
      <c r="T5" s="14">
        <f t="shared" ref="T5:T31" si="6">O5-(R5+S5+P5)</f>
        <v>5063.1166666666668</v>
      </c>
      <c r="U5" s="56">
        <f t="shared" ref="U5:U31" si="7">IF(O5&gt;0,IF(Q5&gt;0,+O5/Q5,"n/m"),0)</f>
        <v>0.37009637104331272</v>
      </c>
      <c r="V5" s="16">
        <v>13200</v>
      </c>
      <c r="W5" s="15">
        <f t="shared" ref="W5:W30" si="8">+V5*$G$181</f>
        <v>2376</v>
      </c>
      <c r="X5" s="16">
        <v>49782.5</v>
      </c>
      <c r="Y5" s="22">
        <f t="shared" ref="Y5:Y25" si="9">X5/18</f>
        <v>2765.6944444444443</v>
      </c>
      <c r="Z5" s="15">
        <f>IF(+V5&gt;0,+V5*$G5,0)</f>
        <v>5280</v>
      </c>
      <c r="AA5" s="16">
        <f t="shared" ref="AA5:AA25" si="10">V5-(Y5+Z5+W5)</f>
        <v>2778.3055555555547</v>
      </c>
      <c r="AB5" s="58">
        <f t="shared" ref="AB5:AB31" si="11">IF(V5&gt;0,IF(X5&gt;0,+V5/X5,"n/m"),0)</f>
        <v>0.2651534173655401</v>
      </c>
      <c r="AC5" s="162">
        <f>+H5+O5+V5</f>
        <v>50570</v>
      </c>
      <c r="AD5" s="163">
        <f>+I5+P5+W5</f>
        <v>9102.5999999999985</v>
      </c>
      <c r="AE5" s="163">
        <f>(+H5+Q5+X5)/3</f>
        <v>39694</v>
      </c>
      <c r="AF5" s="163">
        <f>+K5+R5+Y5</f>
        <v>8464.6222222222223</v>
      </c>
      <c r="AG5" s="163">
        <f>+L5+S5+Z5</f>
        <v>20228</v>
      </c>
      <c r="AH5" s="163">
        <f>+AC5-AD5-AF5-AG5</f>
        <v>12774.777777777781</v>
      </c>
    </row>
    <row r="6" spans="1:34" ht="16.5" customHeight="1" x14ac:dyDescent="0.25">
      <c r="A6" s="9"/>
      <c r="B6" s="70" t="s">
        <v>92</v>
      </c>
      <c r="C6" s="70" t="s">
        <v>93</v>
      </c>
      <c r="D6" s="31" t="s">
        <v>85</v>
      </c>
      <c r="E6" s="31" t="s">
        <v>131</v>
      </c>
      <c r="F6" s="31">
        <v>2925</v>
      </c>
      <c r="G6" s="126">
        <v>0.35</v>
      </c>
      <c r="H6" s="12">
        <v>6610</v>
      </c>
      <c r="I6" s="11">
        <f t="shared" si="0"/>
        <v>1189.8</v>
      </c>
      <c r="J6" s="45">
        <v>39424</v>
      </c>
      <c r="K6" s="20">
        <f t="shared" si="1"/>
        <v>2190.2222222222222</v>
      </c>
      <c r="L6" s="11">
        <f>IF(+H6&gt;0,+H6*$G6,0)</f>
        <v>2313.5</v>
      </c>
      <c r="M6" s="12">
        <f t="shared" si="2"/>
        <v>916.47777777777719</v>
      </c>
      <c r="N6" s="54">
        <f t="shared" si="3"/>
        <v>0.16766436688311689</v>
      </c>
      <c r="O6" s="14">
        <v>7087.5</v>
      </c>
      <c r="P6" s="13">
        <f t="shared" si="4"/>
        <v>1275.75</v>
      </c>
      <c r="Q6" s="14">
        <v>29780</v>
      </c>
      <c r="R6" s="21">
        <f t="shared" si="5"/>
        <v>1654.4444444444443</v>
      </c>
      <c r="S6" s="13">
        <f>IF(+O6&gt;0,+O6*$G6,0)</f>
        <v>2480.625</v>
      </c>
      <c r="T6" s="14">
        <f t="shared" si="6"/>
        <v>1676.6805555555557</v>
      </c>
      <c r="U6" s="56">
        <f t="shared" si="7"/>
        <v>0.23799529885829415</v>
      </c>
      <c r="V6" s="16">
        <v>14500</v>
      </c>
      <c r="W6" s="15">
        <f t="shared" si="8"/>
        <v>2610</v>
      </c>
      <c r="X6" s="16">
        <v>29796.25</v>
      </c>
      <c r="Y6" s="22">
        <f t="shared" si="9"/>
        <v>1655.3472222222222</v>
      </c>
      <c r="Z6" s="15">
        <f>IF(+V6&gt;0,+V6*$G6,0)</f>
        <v>5075</v>
      </c>
      <c r="AA6" s="16">
        <f t="shared" si="10"/>
        <v>5159.6527777777774</v>
      </c>
      <c r="AB6" s="58">
        <f t="shared" si="11"/>
        <v>0.48663841926416918</v>
      </c>
      <c r="AC6" s="162">
        <f t="shared" ref="AC6:AC30" si="12">+H6+O6+V6</f>
        <v>28197.5</v>
      </c>
      <c r="AD6" s="163">
        <f t="shared" ref="AD6:AD30" si="13">+I6+P6+W6</f>
        <v>5075.55</v>
      </c>
      <c r="AE6" s="163">
        <f t="shared" ref="AE6:AE30" si="14">(+H6+Q6+X6)/3</f>
        <v>22062.083333333332</v>
      </c>
      <c r="AF6" s="163">
        <f t="shared" ref="AF6:AF30" si="15">+K6+R6+Y6</f>
        <v>5500.0138888888887</v>
      </c>
      <c r="AG6" s="163">
        <f t="shared" ref="AG6:AG30" si="16">+L6+S6+Z6</f>
        <v>9869.125</v>
      </c>
      <c r="AH6" s="163">
        <f t="shared" ref="AH6:AH30" si="17">+AC6-AD6-AF6-AG6</f>
        <v>7752.8111111111139</v>
      </c>
    </row>
    <row r="7" spans="1:34" ht="16.5" customHeight="1" x14ac:dyDescent="0.25">
      <c r="A7" s="9"/>
      <c r="B7" s="70" t="s">
        <v>100</v>
      </c>
      <c r="C7" s="70" t="s">
        <v>101</v>
      </c>
      <c r="D7" s="31" t="s">
        <v>85</v>
      </c>
      <c r="E7" s="31" t="s">
        <v>131</v>
      </c>
      <c r="F7" s="31">
        <v>2498</v>
      </c>
      <c r="G7" s="126">
        <v>0.4</v>
      </c>
      <c r="H7" s="12">
        <v>10338</v>
      </c>
      <c r="I7" s="11">
        <f t="shared" si="0"/>
        <v>1860.84</v>
      </c>
      <c r="J7" s="45">
        <v>39399</v>
      </c>
      <c r="K7" s="20">
        <f t="shared" si="1"/>
        <v>2188.8333333333335</v>
      </c>
      <c r="L7" s="11">
        <f>IF(+H7&gt;=100000,0.45*H7,0.4*H7)</f>
        <v>4135.2</v>
      </c>
      <c r="M7" s="12">
        <f t="shared" si="2"/>
        <v>2153.126666666667</v>
      </c>
      <c r="N7" s="54">
        <f t="shared" si="3"/>
        <v>0.26239244650879462</v>
      </c>
      <c r="O7" s="14">
        <v>15363</v>
      </c>
      <c r="P7" s="13">
        <f t="shared" si="4"/>
        <v>2765.3399999999997</v>
      </c>
      <c r="Q7" s="14">
        <v>38870</v>
      </c>
      <c r="R7" s="21">
        <f t="shared" si="5"/>
        <v>2159.4444444444443</v>
      </c>
      <c r="S7" s="13">
        <f>IF(+O7&gt;=100000,0.45*O7,0.4*O7)</f>
        <v>6145.2000000000007</v>
      </c>
      <c r="T7" s="14">
        <f t="shared" si="6"/>
        <v>4293.0155555555539</v>
      </c>
      <c r="U7" s="56">
        <f t="shared" si="7"/>
        <v>0.39524054540776948</v>
      </c>
      <c r="V7" s="16">
        <v>15525</v>
      </c>
      <c r="W7" s="15">
        <f t="shared" si="8"/>
        <v>2794.5</v>
      </c>
      <c r="X7" s="16">
        <v>38086.25</v>
      </c>
      <c r="Y7" s="22">
        <f t="shared" si="9"/>
        <v>2115.9027777777778</v>
      </c>
      <c r="Z7" s="15">
        <f>IF(+V7&gt;=100000,0.45*V7,0.4*V7)</f>
        <v>6210</v>
      </c>
      <c r="AA7" s="16">
        <f t="shared" si="10"/>
        <v>4404.5972222222226</v>
      </c>
      <c r="AB7" s="58">
        <f t="shared" si="11"/>
        <v>0.40762742459549051</v>
      </c>
      <c r="AC7" s="162">
        <f t="shared" si="12"/>
        <v>41226</v>
      </c>
      <c r="AD7" s="163">
        <f t="shared" si="13"/>
        <v>7420.6799999999994</v>
      </c>
      <c r="AE7" s="163">
        <f t="shared" si="14"/>
        <v>29098.083333333332</v>
      </c>
      <c r="AF7" s="163">
        <f t="shared" si="15"/>
        <v>6464.1805555555547</v>
      </c>
      <c r="AG7" s="163">
        <f t="shared" si="16"/>
        <v>16490.400000000001</v>
      </c>
      <c r="AH7" s="163">
        <f t="shared" si="17"/>
        <v>10850.739444444444</v>
      </c>
    </row>
    <row r="8" spans="1:34" ht="16.5" customHeight="1" x14ac:dyDescent="0.25">
      <c r="A8" s="9"/>
      <c r="B8" s="70" t="s">
        <v>106</v>
      </c>
      <c r="C8" s="70" t="s">
        <v>107</v>
      </c>
      <c r="D8" s="31" t="s">
        <v>85</v>
      </c>
      <c r="E8" s="31" t="s">
        <v>131</v>
      </c>
      <c r="F8" s="31">
        <v>2513</v>
      </c>
      <c r="G8" s="126">
        <v>0.4</v>
      </c>
      <c r="H8" s="12">
        <v>22378</v>
      </c>
      <c r="I8" s="11">
        <f t="shared" si="0"/>
        <v>4028.04</v>
      </c>
      <c r="J8" s="45">
        <v>56722</v>
      </c>
      <c r="K8" s="20">
        <f t="shared" si="1"/>
        <v>3151.2222222222222</v>
      </c>
      <c r="L8" s="11">
        <f>IF(+H8&gt;0,+H8*$G8,0)</f>
        <v>8951.2000000000007</v>
      </c>
      <c r="M8" s="12">
        <f t="shared" si="2"/>
        <v>6247.5377777777758</v>
      </c>
      <c r="N8" s="54">
        <f t="shared" si="3"/>
        <v>0.39452064454708929</v>
      </c>
      <c r="O8" s="14">
        <v>21764.5</v>
      </c>
      <c r="P8" s="13">
        <f t="shared" si="4"/>
        <v>3917.6099999999997</v>
      </c>
      <c r="Q8" s="14">
        <v>78251.5</v>
      </c>
      <c r="R8" s="21">
        <f t="shared" si="5"/>
        <v>4347.3055555555557</v>
      </c>
      <c r="S8" s="13">
        <f>IF(+O8&gt;0,+O8*$G8,0)</f>
        <v>8705.8000000000011</v>
      </c>
      <c r="T8" s="14">
        <f t="shared" si="6"/>
        <v>4793.7844444444418</v>
      </c>
      <c r="U8" s="56">
        <f t="shared" si="7"/>
        <v>0.27813524341386425</v>
      </c>
      <c r="V8" s="16">
        <v>28864</v>
      </c>
      <c r="W8" s="15">
        <f t="shared" si="8"/>
        <v>5195.5199999999995</v>
      </c>
      <c r="X8" s="16">
        <v>58677.75</v>
      </c>
      <c r="Y8" s="22">
        <f t="shared" si="9"/>
        <v>3259.875</v>
      </c>
      <c r="Z8" s="15">
        <f>IF(+V8&gt;0,+V8*$G8,0)</f>
        <v>11545.6</v>
      </c>
      <c r="AA8" s="16">
        <f t="shared" si="10"/>
        <v>8863.005000000001</v>
      </c>
      <c r="AB8" s="58">
        <f t="shared" si="11"/>
        <v>0.49190706869298839</v>
      </c>
      <c r="AC8" s="162">
        <f t="shared" si="12"/>
        <v>73006.5</v>
      </c>
      <c r="AD8" s="163">
        <f t="shared" si="13"/>
        <v>13141.169999999998</v>
      </c>
      <c r="AE8" s="163">
        <f t="shared" si="14"/>
        <v>53102.416666666664</v>
      </c>
      <c r="AF8" s="163">
        <f t="shared" si="15"/>
        <v>10758.402777777777</v>
      </c>
      <c r="AG8" s="163">
        <f t="shared" si="16"/>
        <v>29202.6</v>
      </c>
      <c r="AH8" s="163">
        <f t="shared" si="17"/>
        <v>19904.327222222222</v>
      </c>
    </row>
    <row r="9" spans="1:34" ht="16.5" customHeight="1" x14ac:dyDescent="0.25">
      <c r="A9" s="9"/>
      <c r="B9" s="70" t="s">
        <v>128</v>
      </c>
      <c r="C9" s="70" t="s">
        <v>127</v>
      </c>
      <c r="D9" s="31" t="s">
        <v>85</v>
      </c>
      <c r="E9" s="31" t="s">
        <v>131</v>
      </c>
      <c r="F9" s="31">
        <v>3005</v>
      </c>
      <c r="G9" s="126">
        <v>0.4</v>
      </c>
      <c r="H9" s="12">
        <v>32145</v>
      </c>
      <c r="I9" s="11">
        <f t="shared" si="0"/>
        <v>5786.0999999999995</v>
      </c>
      <c r="J9" s="45">
        <v>62404.6</v>
      </c>
      <c r="K9" s="20">
        <f t="shared" si="1"/>
        <v>3466.922222222222</v>
      </c>
      <c r="L9" s="11">
        <f>IF(+H9&gt;=66667,0.45*H9,0.4*H9)</f>
        <v>12858</v>
      </c>
      <c r="M9" s="12">
        <f t="shared" si="2"/>
        <v>10033.977777777778</v>
      </c>
      <c r="N9" s="54">
        <f t="shared" si="3"/>
        <v>0.51510625819250511</v>
      </c>
      <c r="O9" s="14">
        <v>11170</v>
      </c>
      <c r="P9" s="13">
        <f t="shared" si="4"/>
        <v>2010.6</v>
      </c>
      <c r="Q9" s="14">
        <v>55705.25</v>
      </c>
      <c r="R9" s="21">
        <f t="shared" si="5"/>
        <v>3094.7361111111113</v>
      </c>
      <c r="S9" s="13">
        <f>IF(+O9&gt;=66667,0.45*O9,0.4*O9)</f>
        <v>4468</v>
      </c>
      <c r="T9" s="14">
        <f t="shared" si="6"/>
        <v>1596.6638888888883</v>
      </c>
      <c r="U9" s="56">
        <f t="shared" si="7"/>
        <v>0.20051969966924124</v>
      </c>
      <c r="V9" s="16">
        <v>4100</v>
      </c>
      <c r="W9" s="15">
        <f t="shared" si="8"/>
        <v>738</v>
      </c>
      <c r="X9" s="16">
        <v>51604.5</v>
      </c>
      <c r="Y9" s="22">
        <f t="shared" si="9"/>
        <v>2866.9166666666665</v>
      </c>
      <c r="Z9" s="15">
        <f>IF(+V9&gt;=66667,0.45*V9,0.4*V9)</f>
        <v>1640</v>
      </c>
      <c r="AA9" s="16">
        <f t="shared" si="10"/>
        <v>-1144.9166666666661</v>
      </c>
      <c r="AB9" s="58">
        <f t="shared" si="11"/>
        <v>7.9450435524033761E-2</v>
      </c>
      <c r="AC9" s="162">
        <f t="shared" si="12"/>
        <v>47415</v>
      </c>
      <c r="AD9" s="163">
        <f t="shared" si="13"/>
        <v>8534.6999999999989</v>
      </c>
      <c r="AE9" s="163">
        <f t="shared" si="14"/>
        <v>46484.916666666664</v>
      </c>
      <c r="AF9" s="163">
        <f t="shared" si="15"/>
        <v>9428.5749999999989</v>
      </c>
      <c r="AG9" s="163">
        <f t="shared" si="16"/>
        <v>18966</v>
      </c>
      <c r="AH9" s="163">
        <f t="shared" si="17"/>
        <v>10485.725000000006</v>
      </c>
    </row>
    <row r="10" spans="1:34" ht="16.5" customHeight="1" x14ac:dyDescent="0.25">
      <c r="A10" s="9"/>
      <c r="B10" s="69" t="s">
        <v>104</v>
      </c>
      <c r="C10" s="69" t="s">
        <v>155</v>
      </c>
      <c r="D10" s="32" t="s">
        <v>85</v>
      </c>
      <c r="E10" s="31" t="s">
        <v>131</v>
      </c>
      <c r="F10" s="32">
        <v>2216</v>
      </c>
      <c r="G10" s="129">
        <v>0.4</v>
      </c>
      <c r="H10" s="12">
        <v>15376</v>
      </c>
      <c r="I10" s="11">
        <f t="shared" si="0"/>
        <v>2767.68</v>
      </c>
      <c r="J10" s="45">
        <v>129054.39999999999</v>
      </c>
      <c r="K10" s="20">
        <f t="shared" si="1"/>
        <v>7169.6888888888889</v>
      </c>
      <c r="L10" s="11">
        <v>7334.4</v>
      </c>
      <c r="M10" s="12">
        <f t="shared" si="2"/>
        <v>-1895.7688888888879</v>
      </c>
      <c r="N10" s="54">
        <f t="shared" si="3"/>
        <v>0.11914355496596785</v>
      </c>
      <c r="O10" s="14">
        <v>7800</v>
      </c>
      <c r="P10" s="13">
        <f t="shared" si="4"/>
        <v>1404</v>
      </c>
      <c r="Q10" s="14">
        <v>121646.5</v>
      </c>
      <c r="R10" s="21">
        <f t="shared" si="5"/>
        <v>6758.1388888888887</v>
      </c>
      <c r="S10" s="13">
        <v>5280</v>
      </c>
      <c r="T10" s="14">
        <f t="shared" si="6"/>
        <v>-5642.1388888888887</v>
      </c>
      <c r="U10" s="56">
        <f t="shared" si="7"/>
        <v>6.412021718668437E-2</v>
      </c>
      <c r="V10" s="16">
        <v>7638</v>
      </c>
      <c r="W10" s="15">
        <f t="shared" si="8"/>
        <v>1374.84</v>
      </c>
      <c r="X10" s="16">
        <v>111514.25</v>
      </c>
      <c r="Y10" s="22">
        <f t="shared" si="9"/>
        <v>6195.2361111111113</v>
      </c>
      <c r="Z10" s="15">
        <f>+V10*0.5</f>
        <v>3819</v>
      </c>
      <c r="AA10" s="16">
        <f t="shared" si="10"/>
        <v>-3751.0761111111115</v>
      </c>
      <c r="AB10" s="58">
        <f t="shared" si="11"/>
        <v>6.8493488500348615E-2</v>
      </c>
      <c r="AC10" s="162">
        <f t="shared" si="12"/>
        <v>30814</v>
      </c>
      <c r="AD10" s="163">
        <f t="shared" si="13"/>
        <v>5546.52</v>
      </c>
      <c r="AE10" s="163">
        <f t="shared" si="14"/>
        <v>82845.583333333328</v>
      </c>
      <c r="AF10" s="163">
        <f t="shared" si="15"/>
        <v>20123.063888888886</v>
      </c>
      <c r="AG10" s="163">
        <f t="shared" si="16"/>
        <v>16433.400000000001</v>
      </c>
      <c r="AH10" s="163">
        <f t="shared" si="17"/>
        <v>-11288.983888888888</v>
      </c>
    </row>
    <row r="11" spans="1:34" ht="16.5" customHeight="1" x14ac:dyDescent="0.25">
      <c r="A11" s="9"/>
      <c r="B11" s="69" t="s">
        <v>173</v>
      </c>
      <c r="C11" s="69" t="s">
        <v>169</v>
      </c>
      <c r="D11" s="32" t="s">
        <v>85</v>
      </c>
      <c r="E11" s="31" t="s">
        <v>131</v>
      </c>
      <c r="F11" s="32">
        <v>2332</v>
      </c>
      <c r="G11" s="129">
        <v>0.4</v>
      </c>
      <c r="H11" s="12">
        <v>402781.59</v>
      </c>
      <c r="I11" s="11">
        <f t="shared" si="0"/>
        <v>72500.686199999996</v>
      </c>
      <c r="J11" s="45">
        <v>819060.4</v>
      </c>
      <c r="K11" s="20">
        <f t="shared" si="1"/>
        <v>45503.355555555558</v>
      </c>
      <c r="L11" s="11">
        <v>190093.21</v>
      </c>
      <c r="M11" s="12">
        <f t="shared" si="2"/>
        <v>94684.338244444516</v>
      </c>
      <c r="N11" s="54">
        <f t="shared" si="3"/>
        <v>0.49176054659705198</v>
      </c>
      <c r="O11" s="14">
        <v>371368.5</v>
      </c>
      <c r="P11" s="13">
        <f t="shared" si="4"/>
        <v>66846.33</v>
      </c>
      <c r="Q11" s="14">
        <v>952091.25</v>
      </c>
      <c r="R11" s="21">
        <f t="shared" si="5"/>
        <v>52893.958333333336</v>
      </c>
      <c r="S11" s="13">
        <v>174491.78</v>
      </c>
      <c r="T11" s="14">
        <f t="shared" si="6"/>
        <v>77136.431666666642</v>
      </c>
      <c r="U11" s="56">
        <f t="shared" si="7"/>
        <v>0.39005557503022953</v>
      </c>
      <c r="V11" s="16">
        <v>542648.82999999996</v>
      </c>
      <c r="W11" s="15">
        <f t="shared" si="8"/>
        <v>97676.789399999994</v>
      </c>
      <c r="X11" s="16">
        <v>1024797.5</v>
      </c>
      <c r="Y11" s="22">
        <f t="shared" si="9"/>
        <v>56933.194444444445</v>
      </c>
      <c r="Z11" s="15">
        <v>259984.2</v>
      </c>
      <c r="AA11" s="16">
        <f t="shared" si="10"/>
        <v>128054.6461555555</v>
      </c>
      <c r="AB11" s="58">
        <f t="shared" si="11"/>
        <v>0.52951810479631334</v>
      </c>
      <c r="AC11" s="162">
        <f t="shared" si="12"/>
        <v>1316798.92</v>
      </c>
      <c r="AD11" s="163">
        <f t="shared" si="13"/>
        <v>237023.80560000002</v>
      </c>
      <c r="AE11" s="163">
        <f t="shared" si="14"/>
        <v>793223.44666666666</v>
      </c>
      <c r="AF11" s="163">
        <f t="shared" si="15"/>
        <v>155330.50833333333</v>
      </c>
      <c r="AG11" s="163">
        <f t="shared" si="16"/>
        <v>624569.18999999994</v>
      </c>
      <c r="AH11" s="163">
        <f t="shared" si="17"/>
        <v>299875.4160666666</v>
      </c>
    </row>
    <row r="12" spans="1:34" ht="16.5" customHeight="1" x14ac:dyDescent="0.25">
      <c r="A12" s="9"/>
      <c r="B12" s="69" t="s">
        <v>175</v>
      </c>
      <c r="C12" s="69" t="s">
        <v>176</v>
      </c>
      <c r="D12" s="32" t="s">
        <v>85</v>
      </c>
      <c r="E12" s="31" t="s">
        <v>131</v>
      </c>
      <c r="F12" s="32">
        <v>2358</v>
      </c>
      <c r="G12" s="127">
        <v>0.35</v>
      </c>
      <c r="H12" s="12">
        <v>22800</v>
      </c>
      <c r="I12" s="11">
        <f t="shared" si="0"/>
        <v>4104</v>
      </c>
      <c r="J12" s="45">
        <v>35782</v>
      </c>
      <c r="K12" s="20">
        <f t="shared" si="1"/>
        <v>1987.8888888888889</v>
      </c>
      <c r="L12" s="11">
        <f>IF(N12&gt;=0.25,+H12*(+$G12+0.05),+H12*$G12)</f>
        <v>9120</v>
      </c>
      <c r="M12" s="12">
        <f t="shared" si="2"/>
        <v>7588.1111111111113</v>
      </c>
      <c r="N12" s="54">
        <f t="shared" si="3"/>
        <v>0.63719188418758033</v>
      </c>
      <c r="O12" s="14">
        <v>12600</v>
      </c>
      <c r="P12" s="13">
        <f t="shared" si="4"/>
        <v>2268</v>
      </c>
      <c r="Q12" s="14">
        <v>35455</v>
      </c>
      <c r="R12" s="21">
        <f t="shared" si="5"/>
        <v>1969.7222222222222</v>
      </c>
      <c r="S12" s="13">
        <f>IF(U12&gt;=0.25,+O12*(+$G12+0.05),+O12*$G12)</f>
        <v>5040</v>
      </c>
      <c r="T12" s="14">
        <f t="shared" si="6"/>
        <v>3322.2777777777774</v>
      </c>
      <c r="U12" s="56">
        <f t="shared" si="7"/>
        <v>0.35538005923000987</v>
      </c>
      <c r="V12" s="16">
        <v>24600</v>
      </c>
      <c r="W12" s="15">
        <f t="shared" si="8"/>
        <v>4428</v>
      </c>
      <c r="X12" s="16">
        <v>35315</v>
      </c>
      <c r="Y12" s="22">
        <f t="shared" si="9"/>
        <v>1961.9444444444443</v>
      </c>
      <c r="Z12" s="15">
        <f>IF(AB12&gt;=0.25,+V12*(+$G12+0.05),+V12*$G12)</f>
        <v>9840</v>
      </c>
      <c r="AA12" s="16">
        <f t="shared" si="10"/>
        <v>8370.0555555555547</v>
      </c>
      <c r="AB12" s="58">
        <f t="shared" si="11"/>
        <v>0.69658785218745578</v>
      </c>
      <c r="AC12" s="162">
        <f t="shared" si="12"/>
        <v>60000</v>
      </c>
      <c r="AD12" s="163">
        <f t="shared" si="13"/>
        <v>10800</v>
      </c>
      <c r="AE12" s="163">
        <f t="shared" si="14"/>
        <v>31190</v>
      </c>
      <c r="AF12" s="163">
        <f t="shared" si="15"/>
        <v>5919.5555555555557</v>
      </c>
      <c r="AG12" s="163">
        <f t="shared" si="16"/>
        <v>24000</v>
      </c>
      <c r="AH12" s="163">
        <f t="shared" si="17"/>
        <v>19280.444444444445</v>
      </c>
    </row>
    <row r="13" spans="1:34" ht="16.5" customHeight="1" x14ac:dyDescent="0.25">
      <c r="A13" s="9"/>
      <c r="B13" s="70" t="s">
        <v>112</v>
      </c>
      <c r="C13" s="70" t="s">
        <v>113</v>
      </c>
      <c r="D13" s="31" t="s">
        <v>85</v>
      </c>
      <c r="E13" s="31" t="s">
        <v>131</v>
      </c>
      <c r="F13" s="31">
        <v>2149</v>
      </c>
      <c r="G13" s="126">
        <v>0.3</v>
      </c>
      <c r="H13" s="12">
        <v>0</v>
      </c>
      <c r="I13" s="11">
        <f t="shared" si="0"/>
        <v>0</v>
      </c>
      <c r="J13" s="45">
        <v>0</v>
      </c>
      <c r="K13" s="20">
        <f t="shared" si="1"/>
        <v>0</v>
      </c>
      <c r="L13" s="11">
        <f t="shared" ref="L13" si="18">IF(+H13&gt;0,+H13*$G13,0)</f>
        <v>0</v>
      </c>
      <c r="M13" s="12">
        <f t="shared" si="2"/>
        <v>0</v>
      </c>
      <c r="N13" s="54">
        <f t="shared" si="3"/>
        <v>0</v>
      </c>
      <c r="O13" s="14">
        <v>0</v>
      </c>
      <c r="P13" s="13">
        <f t="shared" si="4"/>
        <v>0</v>
      </c>
      <c r="Q13" s="14">
        <v>0</v>
      </c>
      <c r="R13" s="21">
        <f t="shared" si="5"/>
        <v>0</v>
      </c>
      <c r="S13" s="13">
        <f t="shared" ref="S13" si="19">IF(+O13&gt;0,+O13*$G13,0)</f>
        <v>0</v>
      </c>
      <c r="T13" s="14">
        <f t="shared" si="6"/>
        <v>0</v>
      </c>
      <c r="U13" s="56">
        <f t="shared" si="7"/>
        <v>0</v>
      </c>
      <c r="V13" s="16">
        <v>0</v>
      </c>
      <c r="W13" s="15">
        <f t="shared" si="8"/>
        <v>0</v>
      </c>
      <c r="X13" s="16">
        <v>0</v>
      </c>
      <c r="Y13" s="22">
        <f t="shared" si="9"/>
        <v>0</v>
      </c>
      <c r="Z13" s="15">
        <f t="shared" ref="Z13" si="20">IF(+V13&gt;0,+V13*$G13,0)</f>
        <v>0</v>
      </c>
      <c r="AA13" s="16">
        <f t="shared" si="10"/>
        <v>0</v>
      </c>
      <c r="AB13" s="58">
        <f t="shared" si="11"/>
        <v>0</v>
      </c>
      <c r="AC13" s="162">
        <f t="shared" si="12"/>
        <v>0</v>
      </c>
      <c r="AD13" s="163">
        <f t="shared" si="13"/>
        <v>0</v>
      </c>
      <c r="AE13" s="163">
        <f t="shared" si="14"/>
        <v>0</v>
      </c>
      <c r="AF13" s="163">
        <f t="shared" si="15"/>
        <v>0</v>
      </c>
      <c r="AG13" s="163">
        <f t="shared" si="16"/>
        <v>0</v>
      </c>
      <c r="AH13" s="163">
        <f t="shared" si="17"/>
        <v>0</v>
      </c>
    </row>
    <row r="14" spans="1:34" ht="16.5" customHeight="1" x14ac:dyDescent="0.25">
      <c r="A14" s="9"/>
      <c r="B14" s="70" t="s">
        <v>185</v>
      </c>
      <c r="C14" s="70" t="s">
        <v>186</v>
      </c>
      <c r="D14" s="31" t="s">
        <v>85</v>
      </c>
      <c r="E14" s="31" t="s">
        <v>131</v>
      </c>
      <c r="F14" s="31">
        <v>2397</v>
      </c>
      <c r="G14" s="130">
        <v>0.4</v>
      </c>
      <c r="H14" s="12">
        <v>37960</v>
      </c>
      <c r="I14" s="11">
        <f>+H14*$G$181</f>
        <v>6832.8</v>
      </c>
      <c r="J14" s="45">
        <v>261323.2</v>
      </c>
      <c r="K14" s="20">
        <f t="shared" si="1"/>
        <v>14517.955555555556</v>
      </c>
      <c r="L14" s="11">
        <v>15724</v>
      </c>
      <c r="M14" s="12">
        <f t="shared" si="2"/>
        <v>885.24444444444089</v>
      </c>
      <c r="N14" s="54">
        <f t="shared" si="3"/>
        <v>0.14526073459991304</v>
      </c>
      <c r="O14" s="14">
        <v>63330</v>
      </c>
      <c r="P14" s="13">
        <f t="shared" si="4"/>
        <v>11399.4</v>
      </c>
      <c r="Q14" s="14">
        <v>310223.75</v>
      </c>
      <c r="R14" s="21">
        <f t="shared" si="5"/>
        <v>17234.652777777777</v>
      </c>
      <c r="S14" s="13">
        <v>32082</v>
      </c>
      <c r="T14" s="14">
        <f t="shared" si="6"/>
        <v>2613.9472222222175</v>
      </c>
      <c r="U14" s="56">
        <f t="shared" si="7"/>
        <v>0.20414297744772927</v>
      </c>
      <c r="V14" s="16">
        <v>44227.06</v>
      </c>
      <c r="W14" s="15">
        <f t="shared" si="8"/>
        <v>7960.8707999999997</v>
      </c>
      <c r="X14" s="16">
        <v>248192.25</v>
      </c>
      <c r="Y14" s="22">
        <f t="shared" si="9"/>
        <v>13788.458333333334</v>
      </c>
      <c r="Z14" s="15">
        <v>26234.6</v>
      </c>
      <c r="AA14" s="16">
        <f t="shared" si="10"/>
        <v>-3756.8691333333336</v>
      </c>
      <c r="AB14" s="58">
        <f t="shared" si="11"/>
        <v>0.17819678092285315</v>
      </c>
      <c r="AC14" s="162">
        <f t="shared" si="12"/>
        <v>145517.06</v>
      </c>
      <c r="AD14" s="163">
        <f t="shared" si="13"/>
        <v>26193.070800000001</v>
      </c>
      <c r="AE14" s="163">
        <f t="shared" si="14"/>
        <v>198792</v>
      </c>
      <c r="AF14" s="163">
        <f t="shared" si="15"/>
        <v>45541.066666666666</v>
      </c>
      <c r="AG14" s="163">
        <f t="shared" si="16"/>
        <v>74040.600000000006</v>
      </c>
      <c r="AH14" s="163">
        <f t="shared" si="17"/>
        <v>-257.67746666667517</v>
      </c>
    </row>
    <row r="15" spans="1:34" ht="16.5" customHeight="1" x14ac:dyDescent="0.25">
      <c r="A15" s="9"/>
      <c r="B15" s="70" t="s">
        <v>255</v>
      </c>
      <c r="C15" s="70" t="s">
        <v>256</v>
      </c>
      <c r="D15" s="31" t="s">
        <v>85</v>
      </c>
      <c r="E15" s="31" t="s">
        <v>131</v>
      </c>
      <c r="F15" s="31">
        <v>2418</v>
      </c>
      <c r="G15" s="130">
        <v>0.5</v>
      </c>
      <c r="H15" s="12">
        <v>20036</v>
      </c>
      <c r="I15" s="11">
        <f t="shared" si="0"/>
        <v>3606.48</v>
      </c>
      <c r="J15" s="45">
        <v>104875.8</v>
      </c>
      <c r="K15" s="20">
        <f t="shared" si="1"/>
        <v>5826.4333333333334</v>
      </c>
      <c r="L15" s="11">
        <f>+H15*0.4</f>
        <v>8014.4000000000005</v>
      </c>
      <c r="M15" s="12">
        <f t="shared" si="2"/>
        <v>2588.6866666666647</v>
      </c>
      <c r="N15" s="54">
        <f t="shared" si="3"/>
        <v>0.19104502659336089</v>
      </c>
      <c r="O15" s="14">
        <v>7810</v>
      </c>
      <c r="P15" s="13">
        <f t="shared" si="4"/>
        <v>1405.8</v>
      </c>
      <c r="Q15" s="14">
        <v>143013.25</v>
      </c>
      <c r="R15" s="21">
        <f t="shared" si="5"/>
        <v>7945.1805555555557</v>
      </c>
      <c r="S15" s="13">
        <v>3823</v>
      </c>
      <c r="T15" s="14">
        <f t="shared" si="6"/>
        <v>-5363.980555555554</v>
      </c>
      <c r="U15" s="56">
        <f t="shared" si="7"/>
        <v>5.4610324567828508E-2</v>
      </c>
      <c r="V15" s="16">
        <f>4394+3000</f>
        <v>7394</v>
      </c>
      <c r="W15" s="15">
        <f t="shared" si="8"/>
        <v>1330.9199999999998</v>
      </c>
      <c r="X15" s="16">
        <v>73739.5</v>
      </c>
      <c r="Y15" s="22">
        <f t="shared" si="9"/>
        <v>4096.6388888888887</v>
      </c>
      <c r="Z15" s="15">
        <f>+V15*0.4</f>
        <v>2957.6000000000004</v>
      </c>
      <c r="AA15" s="16">
        <f t="shared" si="10"/>
        <v>-991.15888888888912</v>
      </c>
      <c r="AB15" s="58">
        <f t="shared" si="11"/>
        <v>0.10027190311841008</v>
      </c>
      <c r="AC15" s="162">
        <f t="shared" si="12"/>
        <v>35240</v>
      </c>
      <c r="AD15" s="163">
        <f t="shared" si="13"/>
        <v>6343.2</v>
      </c>
      <c r="AE15" s="163">
        <f t="shared" si="14"/>
        <v>78929.583333333328</v>
      </c>
      <c r="AF15" s="163">
        <f t="shared" si="15"/>
        <v>17868.25277777778</v>
      </c>
      <c r="AG15" s="163">
        <f t="shared" si="16"/>
        <v>14795.000000000002</v>
      </c>
      <c r="AH15" s="163">
        <f t="shared" si="17"/>
        <v>-3766.4527777777821</v>
      </c>
    </row>
    <row r="16" spans="1:34" ht="16.5" customHeight="1" x14ac:dyDescent="0.25">
      <c r="A16" s="9"/>
      <c r="B16" s="70" t="s">
        <v>213</v>
      </c>
      <c r="C16" s="70" t="s">
        <v>214</v>
      </c>
      <c r="D16" s="31" t="s">
        <v>85</v>
      </c>
      <c r="E16" s="31" t="s">
        <v>131</v>
      </c>
      <c r="F16" s="31">
        <v>2995</v>
      </c>
      <c r="G16" s="130">
        <v>0.5</v>
      </c>
      <c r="H16" s="12">
        <v>22852.5</v>
      </c>
      <c r="I16" s="11">
        <f t="shared" si="0"/>
        <v>4113.45</v>
      </c>
      <c r="J16" s="45">
        <v>101925.6</v>
      </c>
      <c r="K16" s="20">
        <f t="shared" si="1"/>
        <v>5662.5333333333338</v>
      </c>
      <c r="L16" s="11">
        <f>+H16*0.7</f>
        <v>15996.749999999998</v>
      </c>
      <c r="M16" s="12">
        <f t="shared" si="2"/>
        <v>-2920.2333333333336</v>
      </c>
      <c r="N16" s="54">
        <f t="shared" si="3"/>
        <v>0.22420765735006709</v>
      </c>
      <c r="O16" s="14">
        <v>13073</v>
      </c>
      <c r="P16" s="13">
        <f t="shared" si="4"/>
        <v>2353.14</v>
      </c>
      <c r="Q16" s="14">
        <v>164739.75</v>
      </c>
      <c r="R16" s="21">
        <f t="shared" si="5"/>
        <v>9152.2083333333339</v>
      </c>
      <c r="S16" s="13">
        <f>+O16*0.7</f>
        <v>9151.0999999999985</v>
      </c>
      <c r="T16" s="14">
        <f t="shared" si="6"/>
        <v>-7583.4483333333337</v>
      </c>
      <c r="U16" s="56">
        <f t="shared" si="7"/>
        <v>7.9355468246127603E-2</v>
      </c>
      <c r="V16" s="16">
        <v>3080</v>
      </c>
      <c r="W16" s="15">
        <f t="shared" si="8"/>
        <v>554.4</v>
      </c>
      <c r="X16" s="16">
        <v>112232.75</v>
      </c>
      <c r="Y16" s="22">
        <f t="shared" si="9"/>
        <v>6235.1527777777774</v>
      </c>
      <c r="Z16" s="15">
        <f>+V16*0.5</f>
        <v>1540</v>
      </c>
      <c r="AA16" s="16">
        <f t="shared" si="10"/>
        <v>-5249.552777777777</v>
      </c>
      <c r="AB16" s="58">
        <f t="shared" si="11"/>
        <v>2.7442970077807056E-2</v>
      </c>
      <c r="AC16" s="162">
        <f t="shared" si="12"/>
        <v>39005.5</v>
      </c>
      <c r="AD16" s="163">
        <f t="shared" si="13"/>
        <v>7020.99</v>
      </c>
      <c r="AE16" s="163">
        <f t="shared" si="14"/>
        <v>99941.666666666672</v>
      </c>
      <c r="AF16" s="163">
        <f t="shared" si="15"/>
        <v>21049.894444444446</v>
      </c>
      <c r="AG16" s="163">
        <f t="shared" si="16"/>
        <v>26687.85</v>
      </c>
      <c r="AH16" s="163">
        <f t="shared" si="17"/>
        <v>-15753.234444444442</v>
      </c>
    </row>
    <row r="17" spans="1:34" ht="16.5" customHeight="1" x14ac:dyDescent="0.25">
      <c r="A17" s="9"/>
      <c r="B17" s="70" t="s">
        <v>232</v>
      </c>
      <c r="C17" s="70" t="s">
        <v>233</v>
      </c>
      <c r="D17" s="31" t="s">
        <v>85</v>
      </c>
      <c r="E17" s="31" t="s">
        <v>131</v>
      </c>
      <c r="F17" s="31">
        <v>2446</v>
      </c>
      <c r="G17" s="130">
        <v>0.4</v>
      </c>
      <c r="H17" s="12">
        <v>5476.73</v>
      </c>
      <c r="I17" s="11">
        <f t="shared" si="0"/>
        <v>985.81139999999994</v>
      </c>
      <c r="J17" s="45">
        <v>197566.7</v>
      </c>
      <c r="K17" s="20">
        <f t="shared" si="1"/>
        <v>10975.927777777779</v>
      </c>
      <c r="L17" s="11">
        <f>+H17*0.4</f>
        <v>2190.692</v>
      </c>
      <c r="M17" s="12">
        <f t="shared" si="2"/>
        <v>-8675.7011777777789</v>
      </c>
      <c r="N17" s="54">
        <f t="shared" si="3"/>
        <v>2.7720916530974093E-2</v>
      </c>
      <c r="O17" s="14">
        <v>81902.42</v>
      </c>
      <c r="P17" s="13">
        <f t="shared" si="4"/>
        <v>14742.435599999999</v>
      </c>
      <c r="Q17" s="14">
        <v>263990</v>
      </c>
      <c r="R17" s="21">
        <f t="shared" si="5"/>
        <v>14666.111111111111</v>
      </c>
      <c r="S17" s="13">
        <f>+O17*0.5</f>
        <v>40951.21</v>
      </c>
      <c r="T17" s="14">
        <f t="shared" si="6"/>
        <v>11542.663288888885</v>
      </c>
      <c r="U17" s="56">
        <f t="shared" si="7"/>
        <v>0.31024819121936437</v>
      </c>
      <c r="V17" s="16">
        <v>29513.46</v>
      </c>
      <c r="W17" s="15">
        <f t="shared" si="8"/>
        <v>5312.4227999999994</v>
      </c>
      <c r="X17" s="16">
        <v>210695.5</v>
      </c>
      <c r="Y17" s="22">
        <f t="shared" si="9"/>
        <v>11705.305555555555</v>
      </c>
      <c r="Z17" s="15">
        <v>13006.73</v>
      </c>
      <c r="AA17" s="16">
        <f t="shared" si="10"/>
        <v>-510.99835555555546</v>
      </c>
      <c r="AB17" s="58">
        <f t="shared" si="11"/>
        <v>0.14007636613026855</v>
      </c>
      <c r="AC17" s="162">
        <f t="shared" si="12"/>
        <v>116892.60999999999</v>
      </c>
      <c r="AD17" s="163">
        <f t="shared" si="13"/>
        <v>21040.6698</v>
      </c>
      <c r="AE17" s="163">
        <f t="shared" si="14"/>
        <v>160054.07666666666</v>
      </c>
      <c r="AF17" s="163">
        <f t="shared" si="15"/>
        <v>37347.344444444447</v>
      </c>
      <c r="AG17" s="163">
        <f t="shared" si="16"/>
        <v>56148.631999999998</v>
      </c>
      <c r="AH17" s="163">
        <f t="shared" si="17"/>
        <v>2355.9637555555382</v>
      </c>
    </row>
    <row r="18" spans="1:34" ht="16.5" customHeight="1" x14ac:dyDescent="0.25">
      <c r="A18" s="9"/>
      <c r="B18" s="70" t="s">
        <v>264</v>
      </c>
      <c r="C18" s="70" t="s">
        <v>265</v>
      </c>
      <c r="D18" s="31" t="s">
        <v>85</v>
      </c>
      <c r="E18" s="31" t="s">
        <v>131</v>
      </c>
      <c r="F18" s="31">
        <v>2386</v>
      </c>
      <c r="G18" s="127">
        <v>0.4</v>
      </c>
      <c r="H18" s="12">
        <v>0</v>
      </c>
      <c r="I18" s="11">
        <f t="shared" si="0"/>
        <v>0</v>
      </c>
      <c r="J18" s="45">
        <v>3550.8</v>
      </c>
      <c r="K18" s="20">
        <f t="shared" si="1"/>
        <v>197.26666666666668</v>
      </c>
      <c r="L18" s="11">
        <f t="shared" ref="L18:L19" si="21">IF(+H18&gt;0,+H18*$G18,0)</f>
        <v>0</v>
      </c>
      <c r="M18" s="12">
        <f t="shared" si="2"/>
        <v>-197.26666666666668</v>
      </c>
      <c r="N18" s="54">
        <f t="shared" si="3"/>
        <v>0</v>
      </c>
      <c r="O18" s="14">
        <v>0</v>
      </c>
      <c r="P18" s="13">
        <f t="shared" si="4"/>
        <v>0</v>
      </c>
      <c r="Q18" s="14">
        <v>3510</v>
      </c>
      <c r="R18" s="21">
        <f t="shared" si="5"/>
        <v>195</v>
      </c>
      <c r="S18" s="13">
        <f t="shared" ref="S18:S19" si="22">IF(+O18&gt;0,+O18*$G18,0)</f>
        <v>0</v>
      </c>
      <c r="T18" s="14">
        <f t="shared" si="6"/>
        <v>-195</v>
      </c>
      <c r="U18" s="56">
        <f t="shared" si="7"/>
        <v>0</v>
      </c>
      <c r="V18" s="16">
        <v>3800</v>
      </c>
      <c r="W18" s="15">
        <f t="shared" si="8"/>
        <v>684</v>
      </c>
      <c r="X18" s="16">
        <v>27954</v>
      </c>
      <c r="Y18" s="22">
        <f t="shared" si="9"/>
        <v>1553</v>
      </c>
      <c r="Z18" s="15">
        <f t="shared" ref="Z18:Z19" si="23">IF(+V18&gt;0,+V18*$G18,0)</f>
        <v>1520</v>
      </c>
      <c r="AA18" s="16">
        <f t="shared" si="10"/>
        <v>43</v>
      </c>
      <c r="AB18" s="58">
        <f t="shared" si="11"/>
        <v>0.13593761179079916</v>
      </c>
      <c r="AC18" s="162">
        <f t="shared" si="12"/>
        <v>3800</v>
      </c>
      <c r="AD18" s="163">
        <f t="shared" si="13"/>
        <v>684</v>
      </c>
      <c r="AE18" s="163">
        <f t="shared" si="14"/>
        <v>10488</v>
      </c>
      <c r="AF18" s="163">
        <f t="shared" si="15"/>
        <v>1945.2666666666667</v>
      </c>
      <c r="AG18" s="163">
        <f t="shared" si="16"/>
        <v>1520</v>
      </c>
      <c r="AH18" s="163">
        <f t="shared" si="17"/>
        <v>-349.26666666666665</v>
      </c>
    </row>
    <row r="19" spans="1:34" ht="16.5" customHeight="1" x14ac:dyDescent="0.25">
      <c r="A19" s="9"/>
      <c r="B19" s="70" t="s">
        <v>269</v>
      </c>
      <c r="C19" s="70" t="s">
        <v>268</v>
      </c>
      <c r="D19" s="31" t="s">
        <v>270</v>
      </c>
      <c r="E19" s="31" t="s">
        <v>131</v>
      </c>
      <c r="F19" s="31">
        <v>2433</v>
      </c>
      <c r="G19" s="127">
        <v>0.4</v>
      </c>
      <c r="H19" s="12">
        <v>31200</v>
      </c>
      <c r="I19" s="11">
        <f t="shared" si="0"/>
        <v>5616</v>
      </c>
      <c r="J19" s="45">
        <v>58625</v>
      </c>
      <c r="K19" s="20">
        <f t="shared" si="1"/>
        <v>3256.9444444444443</v>
      </c>
      <c r="L19" s="11">
        <f t="shared" si="21"/>
        <v>12480</v>
      </c>
      <c r="M19" s="12">
        <f t="shared" si="2"/>
        <v>9847.0555555555547</v>
      </c>
      <c r="N19" s="54">
        <f t="shared" si="3"/>
        <v>0.53219616204690834</v>
      </c>
      <c r="O19" s="14">
        <v>7800</v>
      </c>
      <c r="P19" s="13">
        <f t="shared" si="4"/>
        <v>1404</v>
      </c>
      <c r="Q19" s="14">
        <v>67995</v>
      </c>
      <c r="R19" s="21">
        <f t="shared" si="5"/>
        <v>3777.5</v>
      </c>
      <c r="S19" s="13">
        <f t="shared" si="22"/>
        <v>3120</v>
      </c>
      <c r="T19" s="14">
        <f t="shared" si="6"/>
        <v>-501.5</v>
      </c>
      <c r="U19" s="56">
        <f t="shared" si="7"/>
        <v>0.11471431722920802</v>
      </c>
      <c r="V19" s="16">
        <v>18050</v>
      </c>
      <c r="W19" s="15">
        <f t="shared" si="8"/>
        <v>3249</v>
      </c>
      <c r="X19" s="16">
        <v>62043.75</v>
      </c>
      <c r="Y19" s="22">
        <f t="shared" si="9"/>
        <v>3446.875</v>
      </c>
      <c r="Z19" s="15">
        <f t="shared" si="23"/>
        <v>7220</v>
      </c>
      <c r="AA19" s="16">
        <f t="shared" si="10"/>
        <v>4134.125</v>
      </c>
      <c r="AB19" s="58">
        <f t="shared" si="11"/>
        <v>0.29092374332628185</v>
      </c>
      <c r="AC19" s="162">
        <f t="shared" si="12"/>
        <v>57050</v>
      </c>
      <c r="AD19" s="163">
        <f t="shared" si="13"/>
        <v>10269</v>
      </c>
      <c r="AE19" s="163">
        <f t="shared" si="14"/>
        <v>53746.25</v>
      </c>
      <c r="AF19" s="163">
        <f t="shared" si="15"/>
        <v>10481.319444444445</v>
      </c>
      <c r="AG19" s="163">
        <f t="shared" si="16"/>
        <v>22820</v>
      </c>
      <c r="AH19" s="163">
        <f t="shared" si="17"/>
        <v>13479.680555555555</v>
      </c>
    </row>
    <row r="20" spans="1:34" ht="16.5" customHeight="1" x14ac:dyDescent="0.25">
      <c r="A20" s="9"/>
      <c r="B20" s="70" t="s">
        <v>271</v>
      </c>
      <c r="C20" s="70" t="s">
        <v>272</v>
      </c>
      <c r="D20" s="31" t="s">
        <v>270</v>
      </c>
      <c r="E20" s="31" t="s">
        <v>131</v>
      </c>
      <c r="F20" s="31">
        <v>2422</v>
      </c>
      <c r="G20" s="129">
        <v>0.4</v>
      </c>
      <c r="H20" s="12">
        <v>0</v>
      </c>
      <c r="I20" s="11">
        <f t="shared" si="0"/>
        <v>0</v>
      </c>
      <c r="J20" s="45">
        <v>15020</v>
      </c>
      <c r="K20" s="20">
        <f t="shared" si="1"/>
        <v>834.44444444444446</v>
      </c>
      <c r="L20" s="11">
        <v>0</v>
      </c>
      <c r="M20" s="12">
        <f t="shared" si="2"/>
        <v>-834.44444444444446</v>
      </c>
      <c r="N20" s="54">
        <f t="shared" si="3"/>
        <v>0</v>
      </c>
      <c r="O20" s="14">
        <v>0</v>
      </c>
      <c r="P20" s="13">
        <f t="shared" si="4"/>
        <v>0</v>
      </c>
      <c r="Q20" s="14">
        <v>14880</v>
      </c>
      <c r="R20" s="21">
        <f t="shared" si="5"/>
        <v>826.66666666666663</v>
      </c>
      <c r="S20" s="13"/>
      <c r="T20" s="14">
        <f t="shared" si="6"/>
        <v>-826.66666666666663</v>
      </c>
      <c r="U20" s="56">
        <f t="shared" si="7"/>
        <v>0</v>
      </c>
      <c r="V20" s="16">
        <v>0</v>
      </c>
      <c r="W20" s="15">
        <f t="shared" si="8"/>
        <v>0</v>
      </c>
      <c r="X20" s="16">
        <v>13700</v>
      </c>
      <c r="Y20" s="22">
        <f t="shared" si="9"/>
        <v>761.11111111111109</v>
      </c>
      <c r="Z20" s="15"/>
      <c r="AA20" s="16">
        <f t="shared" si="10"/>
        <v>-761.11111111111109</v>
      </c>
      <c r="AB20" s="58">
        <f t="shared" si="11"/>
        <v>0</v>
      </c>
      <c r="AC20" s="162">
        <f t="shared" si="12"/>
        <v>0</v>
      </c>
      <c r="AD20" s="163">
        <f t="shared" si="13"/>
        <v>0</v>
      </c>
      <c r="AE20" s="163">
        <f t="shared" si="14"/>
        <v>9526.6666666666661</v>
      </c>
      <c r="AF20" s="163">
        <f t="shared" si="15"/>
        <v>2422.2222222222222</v>
      </c>
      <c r="AG20" s="163">
        <f t="shared" si="16"/>
        <v>0</v>
      </c>
      <c r="AH20" s="163">
        <f t="shared" si="17"/>
        <v>-2422.2222222222222</v>
      </c>
    </row>
    <row r="21" spans="1:34" ht="16.5" customHeight="1" x14ac:dyDescent="0.25">
      <c r="A21" s="9"/>
      <c r="B21" s="70" t="s">
        <v>279</v>
      </c>
      <c r="C21" s="70" t="s">
        <v>280</v>
      </c>
      <c r="D21" s="31" t="s">
        <v>281</v>
      </c>
      <c r="E21" s="31" t="s">
        <v>131</v>
      </c>
      <c r="F21" s="31">
        <v>2467</v>
      </c>
      <c r="G21" s="127">
        <v>0.4</v>
      </c>
      <c r="H21" s="12">
        <v>37800</v>
      </c>
      <c r="I21" s="11">
        <f t="shared" si="0"/>
        <v>6804</v>
      </c>
      <c r="J21" s="45">
        <v>14076.2</v>
      </c>
      <c r="K21" s="20">
        <f t="shared" si="1"/>
        <v>782.01111111111118</v>
      </c>
      <c r="L21" s="11">
        <f t="shared" ref="L21" si="24">IF(+H21&gt;0,+H21*$G21,0)</f>
        <v>15120</v>
      </c>
      <c r="M21" s="12">
        <f t="shared" si="2"/>
        <v>15093.988888888889</v>
      </c>
      <c r="N21" s="54">
        <f t="shared" si="3"/>
        <v>2.685383839388471</v>
      </c>
      <c r="O21" s="14">
        <v>23400</v>
      </c>
      <c r="P21" s="13">
        <f t="shared" si="4"/>
        <v>4212</v>
      </c>
      <c r="Q21" s="14">
        <v>13608.5</v>
      </c>
      <c r="R21" s="21">
        <f t="shared" si="5"/>
        <v>756.02777777777783</v>
      </c>
      <c r="S21" s="13">
        <f t="shared" ref="S21" si="25">IF(+O21&gt;0,+O21*$G21,0)</f>
        <v>9360</v>
      </c>
      <c r="T21" s="14">
        <f t="shared" si="6"/>
        <v>9071.9722222222226</v>
      </c>
      <c r="U21" s="56">
        <f t="shared" si="7"/>
        <v>1.7195135393320351</v>
      </c>
      <c r="V21" s="16">
        <v>9000</v>
      </c>
      <c r="W21" s="15">
        <f t="shared" si="8"/>
        <v>1620</v>
      </c>
      <c r="X21" s="16">
        <v>20528.25</v>
      </c>
      <c r="Y21" s="22">
        <f t="shared" si="9"/>
        <v>1140.4583333333333</v>
      </c>
      <c r="Z21" s="15">
        <f t="shared" ref="Z21" si="26">IF(+V21&gt;0,+V21*$G21,0)</f>
        <v>3600</v>
      </c>
      <c r="AA21" s="16">
        <f t="shared" si="10"/>
        <v>2639.541666666667</v>
      </c>
      <c r="AB21" s="58">
        <f t="shared" si="11"/>
        <v>0.43842022578641626</v>
      </c>
      <c r="AC21" s="162">
        <f t="shared" si="12"/>
        <v>70200</v>
      </c>
      <c r="AD21" s="163">
        <f t="shared" si="13"/>
        <v>12636</v>
      </c>
      <c r="AE21" s="163">
        <f t="shared" si="14"/>
        <v>23978.916666666668</v>
      </c>
      <c r="AF21" s="163">
        <f t="shared" si="15"/>
        <v>2678.4972222222223</v>
      </c>
      <c r="AG21" s="163">
        <f t="shared" si="16"/>
        <v>28080</v>
      </c>
      <c r="AH21" s="163">
        <f t="shared" si="17"/>
        <v>26805.50277777778</v>
      </c>
    </row>
    <row r="22" spans="1:34" ht="16.5" customHeight="1" x14ac:dyDescent="0.25">
      <c r="A22" s="9"/>
      <c r="B22" s="70" t="s">
        <v>287</v>
      </c>
      <c r="C22" s="70" t="s">
        <v>288</v>
      </c>
      <c r="D22" s="31" t="s">
        <v>97</v>
      </c>
      <c r="E22" s="31" t="s">
        <v>131</v>
      </c>
      <c r="F22" s="31">
        <v>2469</v>
      </c>
      <c r="G22" s="127">
        <v>0.4</v>
      </c>
      <c r="H22" s="12">
        <v>0</v>
      </c>
      <c r="I22" s="11">
        <f t="shared" si="0"/>
        <v>0</v>
      </c>
      <c r="J22" s="45">
        <v>1563</v>
      </c>
      <c r="K22" s="20">
        <f t="shared" si="1"/>
        <v>86.833333333333329</v>
      </c>
      <c r="L22" s="11">
        <f>IF(+H22&gt;0,+H22*$G22,0)</f>
        <v>0</v>
      </c>
      <c r="M22" s="12">
        <f t="shared" si="2"/>
        <v>-86.833333333333329</v>
      </c>
      <c r="N22" s="54">
        <f t="shared" si="3"/>
        <v>0</v>
      </c>
      <c r="O22" s="14">
        <v>0</v>
      </c>
      <c r="P22" s="13">
        <f t="shared" si="4"/>
        <v>0</v>
      </c>
      <c r="Q22" s="14">
        <v>1563</v>
      </c>
      <c r="R22" s="21">
        <f t="shared" si="5"/>
        <v>86.833333333333329</v>
      </c>
      <c r="S22" s="13">
        <f>IF(+O22&gt;0,+O22*$G22,0)</f>
        <v>0</v>
      </c>
      <c r="T22" s="14">
        <f t="shared" si="6"/>
        <v>-86.833333333333329</v>
      </c>
      <c r="U22" s="56">
        <f t="shared" si="7"/>
        <v>0</v>
      </c>
      <c r="V22" s="16">
        <v>0</v>
      </c>
      <c r="W22" s="15">
        <f t="shared" si="8"/>
        <v>0</v>
      </c>
      <c r="X22" s="16">
        <v>1563</v>
      </c>
      <c r="Y22" s="22">
        <f t="shared" si="9"/>
        <v>86.833333333333329</v>
      </c>
      <c r="Z22" s="15">
        <f>IF(+V22&gt;0,+V22*$G22,0)</f>
        <v>0</v>
      </c>
      <c r="AA22" s="16">
        <f t="shared" si="10"/>
        <v>-86.833333333333329</v>
      </c>
      <c r="AB22" s="58">
        <f t="shared" si="11"/>
        <v>0</v>
      </c>
      <c r="AC22" s="162">
        <f t="shared" si="12"/>
        <v>0</v>
      </c>
      <c r="AD22" s="163">
        <f t="shared" si="13"/>
        <v>0</v>
      </c>
      <c r="AE22" s="163">
        <f t="shared" si="14"/>
        <v>1042</v>
      </c>
      <c r="AF22" s="163">
        <f t="shared" si="15"/>
        <v>260.5</v>
      </c>
      <c r="AG22" s="163">
        <f t="shared" si="16"/>
        <v>0</v>
      </c>
      <c r="AH22" s="163">
        <f t="shared" si="17"/>
        <v>-260.5</v>
      </c>
    </row>
    <row r="23" spans="1:34" ht="16.5" customHeight="1" x14ac:dyDescent="0.25">
      <c r="A23" s="9"/>
      <c r="B23" s="70" t="s">
        <v>304</v>
      </c>
      <c r="C23" s="70" t="s">
        <v>305</v>
      </c>
      <c r="D23" s="31" t="s">
        <v>306</v>
      </c>
      <c r="E23" s="31" t="s">
        <v>131</v>
      </c>
      <c r="F23" s="31">
        <v>2490</v>
      </c>
      <c r="G23" s="127">
        <v>0.35</v>
      </c>
      <c r="H23" s="12">
        <v>0</v>
      </c>
      <c r="I23" s="11">
        <f t="shared" si="0"/>
        <v>0</v>
      </c>
      <c r="J23" s="45">
        <v>951</v>
      </c>
      <c r="K23" s="20">
        <f t="shared" si="1"/>
        <v>52.833333333333336</v>
      </c>
      <c r="L23" s="11">
        <f>IF(N23&gt;=0.25,+H23*(+$G23+0.05),+H23*$G23)</f>
        <v>0</v>
      </c>
      <c r="M23" s="12">
        <f t="shared" si="2"/>
        <v>-52.833333333333336</v>
      </c>
      <c r="N23" s="54">
        <f t="shared" si="3"/>
        <v>0</v>
      </c>
      <c r="O23" s="14">
        <v>0</v>
      </c>
      <c r="P23" s="13">
        <f t="shared" si="4"/>
        <v>0</v>
      </c>
      <c r="Q23" s="14">
        <v>0</v>
      </c>
      <c r="R23" s="21">
        <f t="shared" si="5"/>
        <v>0</v>
      </c>
      <c r="S23" s="13">
        <f>IF(U23&gt;=0.25,+O23*(+$G23+0.05),+O23*$G23)</f>
        <v>0</v>
      </c>
      <c r="T23" s="14">
        <f t="shared" si="6"/>
        <v>0</v>
      </c>
      <c r="U23" s="56">
        <f t="shared" si="7"/>
        <v>0</v>
      </c>
      <c r="V23" s="16">
        <v>0</v>
      </c>
      <c r="W23" s="15">
        <f t="shared" si="8"/>
        <v>0</v>
      </c>
      <c r="X23" s="16">
        <v>0</v>
      </c>
      <c r="Y23" s="22">
        <f t="shared" si="9"/>
        <v>0</v>
      </c>
      <c r="Z23" s="15">
        <f>IF(AB23&gt;=0.25,+V23*(+$G23+0.05),+V23*$G23)</f>
        <v>0</v>
      </c>
      <c r="AA23" s="16">
        <f t="shared" si="10"/>
        <v>0</v>
      </c>
      <c r="AB23" s="58">
        <f t="shared" si="11"/>
        <v>0</v>
      </c>
      <c r="AC23" s="162">
        <f t="shared" si="12"/>
        <v>0</v>
      </c>
      <c r="AD23" s="163">
        <f t="shared" si="13"/>
        <v>0</v>
      </c>
      <c r="AE23" s="163">
        <f t="shared" si="14"/>
        <v>0</v>
      </c>
      <c r="AF23" s="163">
        <f t="shared" si="15"/>
        <v>52.833333333333336</v>
      </c>
      <c r="AG23" s="163">
        <f t="shared" si="16"/>
        <v>0</v>
      </c>
      <c r="AH23" s="163">
        <f t="shared" si="17"/>
        <v>-52.833333333333336</v>
      </c>
    </row>
    <row r="24" spans="1:34" ht="16.5" customHeight="1" x14ac:dyDescent="0.25">
      <c r="A24" s="9"/>
      <c r="B24" s="70" t="s">
        <v>333</v>
      </c>
      <c r="C24" s="70" t="s">
        <v>334</v>
      </c>
      <c r="D24" s="31" t="s">
        <v>87</v>
      </c>
      <c r="E24" s="31" t="s">
        <v>131</v>
      </c>
      <c r="F24" s="31">
        <v>2509</v>
      </c>
      <c r="G24" s="127">
        <v>0.35</v>
      </c>
      <c r="H24" s="12">
        <v>2400</v>
      </c>
      <c r="I24" s="11">
        <f t="shared" si="0"/>
        <v>432</v>
      </c>
      <c r="J24" s="45">
        <v>12690.8</v>
      </c>
      <c r="K24" s="20">
        <f t="shared" si="1"/>
        <v>705.04444444444437</v>
      </c>
      <c r="L24" s="11">
        <f t="shared" ref="L24:L30" si="27">IF(+H24&gt;0,+H24*$G24,0)</f>
        <v>840</v>
      </c>
      <c r="M24" s="12">
        <f t="shared" si="2"/>
        <v>422.95555555555575</v>
      </c>
      <c r="N24" s="54">
        <f t="shared" si="3"/>
        <v>0.18911337346739371</v>
      </c>
      <c r="O24" s="14">
        <v>0</v>
      </c>
      <c r="P24" s="13">
        <f t="shared" si="4"/>
        <v>0</v>
      </c>
      <c r="Q24" s="14">
        <v>1705</v>
      </c>
      <c r="R24" s="21">
        <f t="shared" si="5"/>
        <v>94.722222222222229</v>
      </c>
      <c r="S24" s="13">
        <f t="shared" ref="S24:S30" si="28">IF(+O24&gt;0,+O24*$G24,0)</f>
        <v>0</v>
      </c>
      <c r="T24" s="14">
        <f t="shared" si="6"/>
        <v>-94.722222222222229</v>
      </c>
      <c r="U24" s="56">
        <f t="shared" si="7"/>
        <v>0</v>
      </c>
      <c r="V24" s="16">
        <v>0</v>
      </c>
      <c r="W24" s="15">
        <f t="shared" si="8"/>
        <v>0</v>
      </c>
      <c r="X24" s="16">
        <v>1570</v>
      </c>
      <c r="Y24" s="22">
        <f t="shared" si="9"/>
        <v>87.222222222222229</v>
      </c>
      <c r="Z24" s="15">
        <f t="shared" ref="Z24:Z30" si="29">IF(+V24&gt;0,+V24*$G24,0)</f>
        <v>0</v>
      </c>
      <c r="AA24" s="16">
        <f t="shared" si="10"/>
        <v>-87.222222222222229</v>
      </c>
      <c r="AB24" s="58">
        <f t="shared" si="11"/>
        <v>0</v>
      </c>
      <c r="AC24" s="162">
        <f t="shared" si="12"/>
        <v>2400</v>
      </c>
      <c r="AD24" s="163">
        <f t="shared" si="13"/>
        <v>432</v>
      </c>
      <c r="AE24" s="163">
        <f t="shared" si="14"/>
        <v>1891.6666666666667</v>
      </c>
      <c r="AF24" s="163">
        <f t="shared" si="15"/>
        <v>886.98888888888882</v>
      </c>
      <c r="AG24" s="163">
        <f t="shared" si="16"/>
        <v>840</v>
      </c>
      <c r="AH24" s="163">
        <f t="shared" si="17"/>
        <v>241.01111111111118</v>
      </c>
    </row>
    <row r="25" spans="1:34" ht="16.5" customHeight="1" x14ac:dyDescent="0.25">
      <c r="A25" s="9"/>
      <c r="B25" s="70" t="s">
        <v>344</v>
      </c>
      <c r="C25" s="70" t="s">
        <v>343</v>
      </c>
      <c r="D25" s="31" t="s">
        <v>85</v>
      </c>
      <c r="E25" s="31" t="s">
        <v>131</v>
      </c>
      <c r="F25" s="31">
        <v>2528</v>
      </c>
      <c r="G25" s="129">
        <v>0.35</v>
      </c>
      <c r="H25" s="12">
        <v>12225</v>
      </c>
      <c r="I25" s="11">
        <f t="shared" si="0"/>
        <v>2200.5</v>
      </c>
      <c r="J25" s="45">
        <v>126237.2</v>
      </c>
      <c r="K25" s="20">
        <f t="shared" si="1"/>
        <v>7013.1777777777779</v>
      </c>
      <c r="L25" s="11">
        <f>IF(N25&gt;=0.25,+H25*(+$G25+0.05),+H25*$G25)</f>
        <v>4278.75</v>
      </c>
      <c r="M25" s="12">
        <f t="shared" si="2"/>
        <v>-1267.4277777777788</v>
      </c>
      <c r="N25" s="54">
        <f t="shared" si="3"/>
        <v>9.6841501554216988E-2</v>
      </c>
      <c r="O25" s="14">
        <v>44200</v>
      </c>
      <c r="P25" s="13">
        <f t="shared" si="4"/>
        <v>7956</v>
      </c>
      <c r="Q25" s="14">
        <v>160661.75</v>
      </c>
      <c r="R25" s="21">
        <f t="shared" si="5"/>
        <v>8925.6527777777774</v>
      </c>
      <c r="S25" s="13">
        <f>IF(U25&gt;=0.25,+O25*(+$G25+0.05),+O25*$G25)</f>
        <v>17680</v>
      </c>
      <c r="T25" s="14">
        <f t="shared" si="6"/>
        <v>9638.347222222219</v>
      </c>
      <c r="U25" s="56">
        <f t="shared" si="7"/>
        <v>0.27511215332834354</v>
      </c>
      <c r="V25" s="16">
        <v>27530</v>
      </c>
      <c r="W25" s="15">
        <f t="shared" si="8"/>
        <v>4955.3999999999996</v>
      </c>
      <c r="X25" s="16">
        <v>218615.25</v>
      </c>
      <c r="Y25" s="22">
        <f t="shared" si="9"/>
        <v>12145.291666666666</v>
      </c>
      <c r="Z25" s="15">
        <f>IF(AB25&gt;=0.25,+V25*(+$G25+0.05),+V25*$G25)</f>
        <v>9635.5</v>
      </c>
      <c r="AA25" s="16">
        <f t="shared" si="10"/>
        <v>793.8083333333343</v>
      </c>
      <c r="AB25" s="58">
        <f t="shared" si="11"/>
        <v>0.12592900083594352</v>
      </c>
      <c r="AC25" s="162">
        <f t="shared" si="12"/>
        <v>83955</v>
      </c>
      <c r="AD25" s="163">
        <f t="shared" si="13"/>
        <v>15111.9</v>
      </c>
      <c r="AE25" s="163">
        <f t="shared" si="14"/>
        <v>130500.66666666667</v>
      </c>
      <c r="AF25" s="163">
        <f t="shared" si="15"/>
        <v>28084.12222222222</v>
      </c>
      <c r="AG25" s="163">
        <f t="shared" si="16"/>
        <v>31594.25</v>
      </c>
      <c r="AH25" s="163">
        <f t="shared" si="17"/>
        <v>9164.7277777777854</v>
      </c>
    </row>
    <row r="26" spans="1:34" ht="16.5" customHeight="1" x14ac:dyDescent="0.25">
      <c r="A26" s="9"/>
      <c r="B26" s="70" t="s">
        <v>346</v>
      </c>
      <c r="C26" s="70" t="s">
        <v>345</v>
      </c>
      <c r="D26" s="31" t="s">
        <v>85</v>
      </c>
      <c r="E26" s="31" t="s">
        <v>131</v>
      </c>
      <c r="F26" s="31">
        <v>2531</v>
      </c>
      <c r="G26" s="130">
        <v>0.55000000000000004</v>
      </c>
      <c r="H26" s="12">
        <v>8855</v>
      </c>
      <c r="I26" s="11">
        <f t="shared" si="0"/>
        <v>1593.8999999999999</v>
      </c>
      <c r="J26" s="45">
        <v>27842.400000000001</v>
      </c>
      <c r="K26" s="20">
        <f>+J26/18</f>
        <v>1546.8000000000002</v>
      </c>
      <c r="L26" s="11">
        <f>+H26*0.55</f>
        <v>4870.25</v>
      </c>
      <c r="M26" s="12">
        <f>H26-(K26+L26+I26)</f>
        <v>844.05000000000018</v>
      </c>
      <c r="N26" s="54">
        <f>IF(H26&gt;0,IF(J26&gt;0,+H26/J26,"n/m"),0)</f>
        <v>0.31804011148464212</v>
      </c>
      <c r="O26" s="14">
        <v>8368.5</v>
      </c>
      <c r="P26" s="13">
        <f t="shared" si="4"/>
        <v>1506.33</v>
      </c>
      <c r="Q26" s="14">
        <v>30287.5</v>
      </c>
      <c r="R26" s="21">
        <f>Q26/18</f>
        <v>1682.6388888888889</v>
      </c>
      <c r="S26" s="13">
        <v>4217.3</v>
      </c>
      <c r="T26" s="14">
        <f>O26-(R26+S26+P26)</f>
        <v>962.2311111111112</v>
      </c>
      <c r="U26" s="56">
        <f>IF(O26&gt;0,IF(Q26&gt;0,+O26/Q26,"n/m"),0)</f>
        <v>0.27630210482872475</v>
      </c>
      <c r="V26" s="16">
        <v>6190</v>
      </c>
      <c r="W26" s="15">
        <f t="shared" si="8"/>
        <v>1114.2</v>
      </c>
      <c r="X26" s="16">
        <v>24644</v>
      </c>
      <c r="Y26" s="22">
        <f>X26/18</f>
        <v>1369.1111111111111</v>
      </c>
      <c r="Z26" s="15">
        <f>+V26*0.4</f>
        <v>2476</v>
      </c>
      <c r="AA26" s="16">
        <f>V26-(Y26+Z26+W26)</f>
        <v>1230.6888888888889</v>
      </c>
      <c r="AB26" s="58">
        <f>IF(V26&gt;0,IF(X26&gt;0,+V26/X26,"n/m"),0)</f>
        <v>0.25117675701996428</v>
      </c>
      <c r="AC26" s="162">
        <f t="shared" si="12"/>
        <v>23413.5</v>
      </c>
      <c r="AD26" s="163">
        <f t="shared" si="13"/>
        <v>4214.4299999999994</v>
      </c>
      <c r="AE26" s="163">
        <f t="shared" si="14"/>
        <v>21262.166666666668</v>
      </c>
      <c r="AF26" s="163">
        <f t="shared" si="15"/>
        <v>4598.55</v>
      </c>
      <c r="AG26" s="163">
        <f t="shared" si="16"/>
        <v>11563.55</v>
      </c>
      <c r="AH26" s="163">
        <f t="shared" si="17"/>
        <v>3036.9700000000012</v>
      </c>
    </row>
    <row r="27" spans="1:34" ht="16.5" customHeight="1" x14ac:dyDescent="0.25">
      <c r="A27" s="9"/>
      <c r="B27" s="10" t="s">
        <v>372</v>
      </c>
      <c r="C27" s="10" t="s">
        <v>366</v>
      </c>
      <c r="D27" s="31" t="s">
        <v>85</v>
      </c>
      <c r="E27" s="31" t="s">
        <v>131</v>
      </c>
      <c r="F27" s="31">
        <v>2539</v>
      </c>
      <c r="G27" s="126">
        <v>0.3</v>
      </c>
      <c r="H27" s="12">
        <v>16111.6</v>
      </c>
      <c r="I27" s="11">
        <f t="shared" si="0"/>
        <v>2900.0879999999997</v>
      </c>
      <c r="J27" s="45">
        <v>15077</v>
      </c>
      <c r="K27" s="20">
        <f>J27/18</f>
        <v>837.61111111111109</v>
      </c>
      <c r="L27" s="11">
        <f t="shared" ref="L27:L29" si="30">IF(+H27&gt;0,+H27*$G27,0)</f>
        <v>4833.4799999999996</v>
      </c>
      <c r="M27" s="37">
        <f>H27-(K27+L27+I27)</f>
        <v>7540.4208888888897</v>
      </c>
      <c r="N27" s="54">
        <f>IF(H27&gt;0,IF(J27&gt;0,+H27/J27,"n/m"),0)</f>
        <v>1.0686210784638854</v>
      </c>
      <c r="O27" s="14">
        <v>5917.3</v>
      </c>
      <c r="P27" s="13">
        <f t="shared" si="4"/>
        <v>1065.114</v>
      </c>
      <c r="Q27" s="14">
        <v>25475</v>
      </c>
      <c r="R27" s="21">
        <f>Q27/18</f>
        <v>1415.2777777777778</v>
      </c>
      <c r="S27" s="13">
        <f t="shared" ref="S27:S29" si="31">IF(+O27&gt;0,+O27*$G27,0)</f>
        <v>1775.19</v>
      </c>
      <c r="T27" s="14">
        <f>O27-(R27+S27+P27)</f>
        <v>1661.7182222222227</v>
      </c>
      <c r="U27" s="56">
        <f>IF(O27&gt;0,IF(Q27&gt;0,+O27/Q27,"n/m"),0)</f>
        <v>0.23227870461236508</v>
      </c>
      <c r="V27" s="16">
        <v>4089</v>
      </c>
      <c r="W27" s="15">
        <f t="shared" si="8"/>
        <v>736.02</v>
      </c>
      <c r="X27" s="16">
        <v>23771.25</v>
      </c>
      <c r="Y27" s="22">
        <f>X27/18</f>
        <v>1320.625</v>
      </c>
      <c r="Z27" s="15">
        <f t="shared" ref="Z27:Z29" si="32">IF(+V27&gt;0,+V27*$G27,0)</f>
        <v>1226.7</v>
      </c>
      <c r="AA27" s="16">
        <f>V27-(Y27+Z27+W27)</f>
        <v>805.6550000000002</v>
      </c>
      <c r="AB27" s="58">
        <f>IF(V27&gt;0,IF(X27&gt;0,+V27/X27,"n/m"),0)</f>
        <v>0.17201451333017825</v>
      </c>
      <c r="AC27" s="162">
        <f t="shared" si="12"/>
        <v>26117.9</v>
      </c>
      <c r="AD27" s="163">
        <f t="shared" si="13"/>
        <v>4701.2219999999998</v>
      </c>
      <c r="AE27" s="163">
        <f t="shared" si="14"/>
        <v>21785.95</v>
      </c>
      <c r="AF27" s="163">
        <f t="shared" si="15"/>
        <v>3573.5138888888887</v>
      </c>
      <c r="AG27" s="163">
        <f t="shared" si="16"/>
        <v>7835.37</v>
      </c>
      <c r="AH27" s="163">
        <f t="shared" si="17"/>
        <v>10007.79411111111</v>
      </c>
    </row>
    <row r="28" spans="1:34" ht="16.5" customHeight="1" x14ac:dyDescent="0.25">
      <c r="A28" s="9"/>
      <c r="B28" s="10" t="s">
        <v>381</v>
      </c>
      <c r="C28" s="10" t="s">
        <v>380</v>
      </c>
      <c r="D28" s="31" t="s">
        <v>85</v>
      </c>
      <c r="E28" s="31" t="s">
        <v>131</v>
      </c>
      <c r="F28" s="31">
        <v>2322</v>
      </c>
      <c r="G28" s="126">
        <v>0.35</v>
      </c>
      <c r="H28" s="12">
        <v>7500</v>
      </c>
      <c r="I28" s="11">
        <f t="shared" si="0"/>
        <v>1350</v>
      </c>
      <c r="J28" s="45">
        <v>862</v>
      </c>
      <c r="K28" s="20">
        <f>J28/18</f>
        <v>47.888888888888886</v>
      </c>
      <c r="L28" s="11">
        <f t="shared" si="30"/>
        <v>2625</v>
      </c>
      <c r="M28" s="37">
        <f>H28-(K28+L28+I28)</f>
        <v>3477.1111111111113</v>
      </c>
      <c r="N28" s="54">
        <f>IF(H28&gt;0,IF(J28&gt;0,+H28/J28,"n/m"),0)</f>
        <v>8.700696055684455</v>
      </c>
      <c r="O28" s="14">
        <v>6340</v>
      </c>
      <c r="P28" s="13">
        <f t="shared" si="4"/>
        <v>1141.2</v>
      </c>
      <c r="Q28" s="14">
        <v>10309.5</v>
      </c>
      <c r="R28" s="21">
        <f>Q28/18</f>
        <v>572.75</v>
      </c>
      <c r="S28" s="13">
        <f t="shared" si="31"/>
        <v>2219</v>
      </c>
      <c r="T28" s="14">
        <f>O28-(R28+S28+P28)</f>
        <v>2407.0500000000002</v>
      </c>
      <c r="U28" s="56">
        <f>IF(O28&gt;0,IF(Q28&gt;0,+O28/Q28,"n/m"),0)</f>
        <v>0.61496677821426837</v>
      </c>
      <c r="V28" s="16">
        <v>9080</v>
      </c>
      <c r="W28" s="15">
        <f t="shared" si="8"/>
        <v>1634.3999999999999</v>
      </c>
      <c r="X28" s="16">
        <v>11618</v>
      </c>
      <c r="Y28" s="22">
        <f>X28/18</f>
        <v>645.44444444444446</v>
      </c>
      <c r="Z28" s="15">
        <f t="shared" si="32"/>
        <v>3178</v>
      </c>
      <c r="AA28" s="16">
        <f>V28-(Y28+Z28+W28)</f>
        <v>3622.155555555556</v>
      </c>
      <c r="AB28" s="58">
        <f>IF(V28&gt;0,IF(X28&gt;0,+V28/X28,"n/m"),0)</f>
        <v>0.78154587708727841</v>
      </c>
      <c r="AC28" s="162">
        <f t="shared" si="12"/>
        <v>22920</v>
      </c>
      <c r="AD28" s="163">
        <f t="shared" si="13"/>
        <v>4125.5999999999995</v>
      </c>
      <c r="AE28" s="163">
        <f t="shared" si="14"/>
        <v>9809.1666666666661</v>
      </c>
      <c r="AF28" s="163">
        <f t="shared" si="15"/>
        <v>1266.0833333333335</v>
      </c>
      <c r="AG28" s="163">
        <f t="shared" si="16"/>
        <v>8022</v>
      </c>
      <c r="AH28" s="163">
        <f t="shared" si="17"/>
        <v>9506.3166666666693</v>
      </c>
    </row>
    <row r="29" spans="1:34" ht="16.5" customHeight="1" x14ac:dyDescent="0.25">
      <c r="A29" s="9"/>
      <c r="B29" s="10" t="s">
        <v>403</v>
      </c>
      <c r="C29" s="10" t="s">
        <v>402</v>
      </c>
      <c r="D29" s="31" t="s">
        <v>85</v>
      </c>
      <c r="E29" s="31" t="s">
        <v>131</v>
      </c>
      <c r="F29" s="31">
        <v>2558</v>
      </c>
      <c r="G29" s="126">
        <v>0.35</v>
      </c>
      <c r="H29" s="12">
        <v>0</v>
      </c>
      <c r="I29" s="11">
        <f t="shared" si="0"/>
        <v>0</v>
      </c>
      <c r="J29" s="45">
        <v>0</v>
      </c>
      <c r="K29" s="20">
        <f>J29/18</f>
        <v>0</v>
      </c>
      <c r="L29" s="11">
        <f t="shared" si="30"/>
        <v>0</v>
      </c>
      <c r="M29" s="37">
        <f>H29-(K29+L29+I29)</f>
        <v>0</v>
      </c>
      <c r="N29" s="54">
        <f>IF(H29&gt;0,IF(J29&gt;0,+H29/J29,"n/m"),0)</f>
        <v>0</v>
      </c>
      <c r="O29" s="14">
        <v>0</v>
      </c>
      <c r="P29" s="13">
        <f t="shared" si="4"/>
        <v>0</v>
      </c>
      <c r="Q29" s="14">
        <v>0</v>
      </c>
      <c r="R29" s="21">
        <f>Q29/18</f>
        <v>0</v>
      </c>
      <c r="S29" s="13">
        <f t="shared" si="31"/>
        <v>0</v>
      </c>
      <c r="T29" s="14">
        <f>O29-(R29+S29+P29)</f>
        <v>0</v>
      </c>
      <c r="U29" s="56">
        <f>IF(O29&gt;0,IF(Q29&gt;0,+O29/Q29,"n/m"),0)</f>
        <v>0</v>
      </c>
      <c r="V29" s="16">
        <v>4100</v>
      </c>
      <c r="W29" s="15">
        <f t="shared" si="8"/>
        <v>738</v>
      </c>
      <c r="X29" s="16">
        <v>7939</v>
      </c>
      <c r="Y29" s="22">
        <f>X29/18</f>
        <v>441.05555555555554</v>
      </c>
      <c r="Z29" s="15">
        <f t="shared" si="32"/>
        <v>1435</v>
      </c>
      <c r="AA29" s="16">
        <f>V29-(Y29+Z29+W29)</f>
        <v>1485.9444444444443</v>
      </c>
      <c r="AB29" s="58">
        <f>IF(V29&gt;0,IF(X29&gt;0,+V29/X29,"n/m"),0)</f>
        <v>0.51643783851870517</v>
      </c>
      <c r="AC29" s="162">
        <f t="shared" si="12"/>
        <v>4100</v>
      </c>
      <c r="AD29" s="163">
        <f t="shared" si="13"/>
        <v>738</v>
      </c>
      <c r="AE29" s="163">
        <f t="shared" si="14"/>
        <v>2646.3333333333335</v>
      </c>
      <c r="AF29" s="163">
        <f t="shared" si="15"/>
        <v>441.05555555555554</v>
      </c>
      <c r="AG29" s="163">
        <f t="shared" si="16"/>
        <v>1435</v>
      </c>
      <c r="AH29" s="163">
        <f t="shared" si="17"/>
        <v>1485.9444444444443</v>
      </c>
    </row>
    <row r="30" spans="1:34" ht="16.5" customHeight="1" thickBot="1" x14ac:dyDescent="0.3">
      <c r="A30" s="9"/>
      <c r="B30" s="10" t="s">
        <v>405</v>
      </c>
      <c r="C30" s="10" t="s">
        <v>404</v>
      </c>
      <c r="D30" s="31" t="s">
        <v>270</v>
      </c>
      <c r="E30" s="31" t="s">
        <v>131</v>
      </c>
      <c r="F30" s="31">
        <v>2551</v>
      </c>
      <c r="G30" s="126">
        <v>0.45</v>
      </c>
      <c r="H30" s="12">
        <v>0</v>
      </c>
      <c r="I30" s="11">
        <f t="shared" si="0"/>
        <v>0</v>
      </c>
      <c r="J30" s="45">
        <v>0</v>
      </c>
      <c r="K30" s="20">
        <f>J30/18</f>
        <v>0</v>
      </c>
      <c r="L30" s="11">
        <f t="shared" si="27"/>
        <v>0</v>
      </c>
      <c r="M30" s="37">
        <f>H30-(K30+L30+I30)</f>
        <v>0</v>
      </c>
      <c r="N30" s="54">
        <f>IF(H30&gt;0,IF(J30&gt;0,+H30/J30,"n/m"),0)</f>
        <v>0</v>
      </c>
      <c r="O30" s="14">
        <v>0</v>
      </c>
      <c r="P30" s="13">
        <f t="shared" si="4"/>
        <v>0</v>
      </c>
      <c r="Q30" s="14">
        <v>0</v>
      </c>
      <c r="R30" s="21">
        <f>Q30/18</f>
        <v>0</v>
      </c>
      <c r="S30" s="13">
        <f t="shared" si="28"/>
        <v>0</v>
      </c>
      <c r="T30" s="14">
        <f>O30-(R30+S30+P30)</f>
        <v>0</v>
      </c>
      <c r="U30" s="56">
        <f>IF(O30&gt;0,IF(Q30&gt;0,+O30/Q30,"n/m"),0)</f>
        <v>0</v>
      </c>
      <c r="V30" s="16">
        <v>1850</v>
      </c>
      <c r="W30" s="15">
        <f t="shared" si="8"/>
        <v>333</v>
      </c>
      <c r="X30" s="16">
        <v>24256</v>
      </c>
      <c r="Y30" s="22">
        <f>X30/18</f>
        <v>1347.5555555555557</v>
      </c>
      <c r="Z30" s="15">
        <f t="shared" si="29"/>
        <v>832.5</v>
      </c>
      <c r="AA30" s="16">
        <f>V30-(Y30+Z30+W30)</f>
        <v>-663.05555555555566</v>
      </c>
      <c r="AB30" s="58">
        <f>IF(V30&gt;0,IF(X30&gt;0,+V30/X30,"n/m"),0)</f>
        <v>7.6269788918205808E-2</v>
      </c>
      <c r="AC30" s="162">
        <f t="shared" si="12"/>
        <v>1850</v>
      </c>
      <c r="AD30" s="163">
        <f t="shared" si="13"/>
        <v>333</v>
      </c>
      <c r="AE30" s="163">
        <f t="shared" si="14"/>
        <v>8085.333333333333</v>
      </c>
      <c r="AF30" s="163">
        <f t="shared" si="15"/>
        <v>1347.5555555555557</v>
      </c>
      <c r="AG30" s="163">
        <f t="shared" si="16"/>
        <v>832.5</v>
      </c>
      <c r="AH30" s="163">
        <f t="shared" si="17"/>
        <v>-663.05555555555566</v>
      </c>
    </row>
    <row r="31" spans="1:34" ht="16.5" customHeight="1" thickBot="1" x14ac:dyDescent="0.3">
      <c r="A31" s="9"/>
      <c r="B31" s="59" t="s">
        <v>136</v>
      </c>
      <c r="C31" s="61"/>
      <c r="D31" s="33"/>
      <c r="E31" s="33"/>
      <c r="F31" s="33"/>
      <c r="G31" s="46"/>
      <c r="H31" s="80">
        <f>SUM(H5:H30)</f>
        <v>733455.42</v>
      </c>
      <c r="I31" s="76">
        <f>SUM(I5:I30)</f>
        <v>132021.97560000001</v>
      </c>
      <c r="J31" s="80">
        <f>SUM(J5:J30)</f>
        <v>2175924.3000000003</v>
      </c>
      <c r="K31" s="76">
        <f>SUM(K5:K30)</f>
        <v>120884.68333333332</v>
      </c>
      <c r="L31" s="76">
        <f>SUM(L5:L30)</f>
        <v>329222.83199999999</v>
      </c>
      <c r="M31" s="80">
        <f t="shared" si="2"/>
        <v>151325.92906666675</v>
      </c>
      <c r="N31" s="81">
        <f t="shared" si="3"/>
        <v>0.33707763638652316</v>
      </c>
      <c r="O31" s="95">
        <f>SUM(O5:O30)</f>
        <v>728054.72000000009</v>
      </c>
      <c r="P31" s="82">
        <f>SUM(P5:P30)</f>
        <v>131049.8496</v>
      </c>
      <c r="Q31" s="95">
        <f>SUM(Q5:Q30)</f>
        <v>2574451</v>
      </c>
      <c r="R31" s="82">
        <f>SUM(R5:R30)</f>
        <v>143025.05555555553</v>
      </c>
      <c r="S31" s="82">
        <f>SUM(S5:S30)</f>
        <v>338494.20500000002</v>
      </c>
      <c r="T31" s="95">
        <f t="shared" si="6"/>
        <v>115485.60984444455</v>
      </c>
      <c r="U31" s="85">
        <f t="shared" si="7"/>
        <v>0.28279999114374293</v>
      </c>
      <c r="V31" s="97">
        <f t="shared" ref="V31:AH31" si="33">SUM(V5:V30)</f>
        <v>818979.34999999986</v>
      </c>
      <c r="W31" s="86">
        <f t="shared" si="33"/>
        <v>147416.28299999997</v>
      </c>
      <c r="X31" s="97">
        <f t="shared" si="33"/>
        <v>2482636.5</v>
      </c>
      <c r="Y31" s="86">
        <f t="shared" si="33"/>
        <v>137924.25</v>
      </c>
      <c r="Z31" s="86">
        <f t="shared" si="33"/>
        <v>378256.42999999993</v>
      </c>
      <c r="AA31" s="97">
        <f t="shared" si="33"/>
        <v>155382.38699999996</v>
      </c>
      <c r="AB31" s="89">
        <f t="shared" si="11"/>
        <v>0.32988290875446319</v>
      </c>
      <c r="AC31" s="164">
        <f t="shared" si="33"/>
        <v>2280489.4899999998</v>
      </c>
      <c r="AD31" s="165">
        <f t="shared" si="33"/>
        <v>410488.10820000002</v>
      </c>
      <c r="AE31" s="164">
        <f t="shared" si="33"/>
        <v>1930180.9733333336</v>
      </c>
      <c r="AF31" s="165">
        <f t="shared" si="33"/>
        <v>401833.98888888891</v>
      </c>
      <c r="AG31" s="165">
        <f t="shared" si="33"/>
        <v>1045973.4669999999</v>
      </c>
      <c r="AH31" s="164">
        <f t="shared" si="33"/>
        <v>422193.92591111094</v>
      </c>
    </row>
    <row r="32" spans="1:34" ht="16.5" customHeight="1" x14ac:dyDescent="0.25">
      <c r="A32" s="9"/>
      <c r="B32" s="61"/>
      <c r="C32" s="61"/>
      <c r="D32" s="33"/>
      <c r="E32" s="33"/>
      <c r="F32" s="33"/>
      <c r="G32" s="46"/>
      <c r="H32" s="76"/>
      <c r="I32" s="76"/>
      <c r="J32" s="76"/>
      <c r="K32" s="79"/>
      <c r="L32" s="81">
        <f>+L31/H31</f>
        <v>0.44886549751040078</v>
      </c>
      <c r="M32" s="76"/>
      <c r="N32" s="81"/>
      <c r="O32" s="82"/>
      <c r="P32" s="83"/>
      <c r="Q32" s="82"/>
      <c r="R32" s="84"/>
      <c r="S32" s="85">
        <f>+S31/O31</f>
        <v>0.46492962094937035</v>
      </c>
      <c r="T32" s="82"/>
      <c r="U32" s="85"/>
      <c r="V32" s="86"/>
      <c r="W32" s="87"/>
      <c r="X32" s="86"/>
      <c r="Y32" s="88"/>
      <c r="Z32" s="89">
        <f>+Z31/V31</f>
        <v>0.46186320815048632</v>
      </c>
      <c r="AA32" s="86"/>
      <c r="AB32" s="89"/>
      <c r="AC32" s="166"/>
      <c r="AD32" s="166"/>
      <c r="AE32" s="167"/>
      <c r="AF32" s="166"/>
      <c r="AG32" s="167"/>
      <c r="AH32" s="167"/>
    </row>
    <row r="33" spans="1:34" ht="16.5" customHeight="1" x14ac:dyDescent="0.25">
      <c r="A33" s="9"/>
      <c r="B33" s="70" t="s">
        <v>12</v>
      </c>
      <c r="C33" s="70" t="s">
        <v>30</v>
      </c>
      <c r="D33" s="31" t="s">
        <v>85</v>
      </c>
      <c r="E33" s="31" t="s">
        <v>134</v>
      </c>
      <c r="F33" s="31">
        <v>2088</v>
      </c>
      <c r="G33" s="130">
        <v>0.35</v>
      </c>
      <c r="H33" s="12">
        <v>0</v>
      </c>
      <c r="I33" s="11">
        <f>+H33*$G$183</f>
        <v>0</v>
      </c>
      <c r="J33" s="45">
        <v>61857.8</v>
      </c>
      <c r="K33" s="20">
        <f t="shared" ref="K33:K42" si="34">+J33/18</f>
        <v>3436.5444444444447</v>
      </c>
      <c r="L33" s="11">
        <v>0</v>
      </c>
      <c r="M33" s="12">
        <f t="shared" ref="M33:M43" si="35">H33-(K33+L33+I33)</f>
        <v>-3436.5444444444447</v>
      </c>
      <c r="N33" s="54">
        <f t="shared" ref="N33:N43" si="36">IF(H33&gt;0,IF(J33&gt;0,+H33/J33,"n/m"),0)</f>
        <v>0</v>
      </c>
      <c r="O33" s="14">
        <v>0</v>
      </c>
      <c r="P33" s="13">
        <f>+O33*$G$183</f>
        <v>0</v>
      </c>
      <c r="Q33" s="14">
        <v>49748</v>
      </c>
      <c r="R33" s="21">
        <f t="shared" ref="R33:R42" si="37">Q33/18</f>
        <v>2763.7777777777778</v>
      </c>
      <c r="S33" s="13"/>
      <c r="T33" s="14">
        <f t="shared" ref="T33:T43" si="38">O33-(R33+S33+P33)</f>
        <v>-2763.7777777777778</v>
      </c>
      <c r="U33" s="56">
        <f t="shared" ref="U33:U43" si="39">IF(O33&gt;0,IF(Q33&gt;0,+O33/Q33,"n/m"),0)</f>
        <v>0</v>
      </c>
      <c r="V33" s="16">
        <v>0</v>
      </c>
      <c r="W33" s="15">
        <f>+V33*$G$183</f>
        <v>0</v>
      </c>
      <c r="X33" s="16">
        <v>30937.75</v>
      </c>
      <c r="Y33" s="22">
        <f t="shared" ref="Y33:Y42" si="40">X33/18</f>
        <v>1718.7638888888889</v>
      </c>
      <c r="Z33" s="15"/>
      <c r="AA33" s="16">
        <f t="shared" ref="AA33:AA43" si="41">V33-(Y33+Z33+W33)</f>
        <v>-1718.7638888888889</v>
      </c>
      <c r="AB33" s="58">
        <f t="shared" ref="AB33:AB43" si="42">IF(V33&gt;0,IF(X33&gt;0,+V33/X33,"n/m"),0)</f>
        <v>0</v>
      </c>
      <c r="AC33" s="162">
        <f t="shared" ref="AC33:AC42" si="43">+H33+O33+V33</f>
        <v>0</v>
      </c>
      <c r="AD33" s="163">
        <f t="shared" ref="AD33:AD42" si="44">+I33+P33+W33</f>
        <v>0</v>
      </c>
      <c r="AE33" s="163">
        <f t="shared" ref="AE33:AE42" si="45">(+H33+Q33+X33)/3</f>
        <v>26895.25</v>
      </c>
      <c r="AF33" s="163">
        <f t="shared" ref="AF33:AF42" si="46">+K33+R33+Y33</f>
        <v>7919.0861111111117</v>
      </c>
      <c r="AG33" s="163">
        <f t="shared" ref="AG33:AG42" si="47">+L33+S33+Z33</f>
        <v>0</v>
      </c>
      <c r="AH33" s="163">
        <f t="shared" ref="AH33:AH42" si="48">+AC33-AD33-AF33-AG33</f>
        <v>-7919.0861111111117</v>
      </c>
    </row>
    <row r="34" spans="1:34" x14ac:dyDescent="0.25">
      <c r="A34" s="9"/>
      <c r="B34" s="70" t="s">
        <v>156</v>
      </c>
      <c r="C34" s="70" t="s">
        <v>126</v>
      </c>
      <c r="D34" s="31" t="s">
        <v>85</v>
      </c>
      <c r="E34" s="31" t="s">
        <v>131</v>
      </c>
      <c r="F34" s="31">
        <v>2905</v>
      </c>
      <c r="G34" s="130">
        <v>0.4</v>
      </c>
      <c r="H34" s="12">
        <v>0</v>
      </c>
      <c r="I34" s="11">
        <f>+H34*$G$183</f>
        <v>0</v>
      </c>
      <c r="J34" s="45">
        <v>83572.2</v>
      </c>
      <c r="K34" s="20">
        <f t="shared" si="34"/>
        <v>4642.8999999999996</v>
      </c>
      <c r="L34" s="11">
        <v>0</v>
      </c>
      <c r="M34" s="12">
        <f>H34-(K34+L34+I34)</f>
        <v>-4642.8999999999996</v>
      </c>
      <c r="N34" s="54">
        <f>IF(H34&gt;0,IF(J34&gt;0,+H34/J34,"n/m"),0)</f>
        <v>0</v>
      </c>
      <c r="O34" s="14">
        <v>0</v>
      </c>
      <c r="P34" s="13">
        <f>+O34*$G$183</f>
        <v>0</v>
      </c>
      <c r="Q34" s="14">
        <v>68688.75</v>
      </c>
      <c r="R34" s="21">
        <f t="shared" si="37"/>
        <v>3816.0416666666665</v>
      </c>
      <c r="S34" s="13"/>
      <c r="T34" s="34">
        <f>O34-(R34+S34+P34)</f>
        <v>-3816.0416666666665</v>
      </c>
      <c r="U34" s="56">
        <f>IF(O34&gt;0,IF(Q34&gt;0,+O34/Q34,"n/m"),0)</f>
        <v>0</v>
      </c>
      <c r="V34" s="16">
        <v>12750</v>
      </c>
      <c r="W34" s="15">
        <f>+V34*$G$183</f>
        <v>3187.5</v>
      </c>
      <c r="X34" s="16">
        <v>86356.75</v>
      </c>
      <c r="Y34" s="22">
        <f t="shared" si="40"/>
        <v>4797.5972222222226</v>
      </c>
      <c r="Z34" s="15"/>
      <c r="AA34" s="16">
        <f>V34-(Y34+Z34+W34)</f>
        <v>4764.9027777777774</v>
      </c>
      <c r="AB34" s="58">
        <f>IF(V34&gt;0,IF(X34&gt;0,+V34/X34,"n/m"),0)</f>
        <v>0.1476433515619798</v>
      </c>
      <c r="AC34" s="162">
        <f t="shared" si="43"/>
        <v>12750</v>
      </c>
      <c r="AD34" s="163">
        <f t="shared" si="44"/>
        <v>3187.5</v>
      </c>
      <c r="AE34" s="163">
        <f t="shared" si="45"/>
        <v>51681.833333333336</v>
      </c>
      <c r="AF34" s="163">
        <f t="shared" si="46"/>
        <v>13256.538888888888</v>
      </c>
      <c r="AG34" s="163">
        <f t="shared" si="47"/>
        <v>0</v>
      </c>
      <c r="AH34" s="163">
        <f t="shared" si="48"/>
        <v>-3694.0388888888883</v>
      </c>
    </row>
    <row r="35" spans="1:34" ht="16.5" customHeight="1" x14ac:dyDescent="0.25">
      <c r="A35" s="9"/>
      <c r="B35" s="70" t="s">
        <v>282</v>
      </c>
      <c r="C35" s="70" t="s">
        <v>371</v>
      </c>
      <c r="D35" s="31" t="s">
        <v>251</v>
      </c>
      <c r="E35" s="31" t="s">
        <v>131</v>
      </c>
      <c r="F35" s="31">
        <v>2473</v>
      </c>
      <c r="G35" s="129">
        <v>0.5</v>
      </c>
      <c r="H35" s="12">
        <v>71484</v>
      </c>
      <c r="I35" s="11">
        <f>+H35*$G$181</f>
        <v>12867.119999999999</v>
      </c>
      <c r="J35" s="45">
        <v>84247.4</v>
      </c>
      <c r="K35" s="20">
        <f>+J35/18</f>
        <v>4680.4111111111106</v>
      </c>
      <c r="L35" s="11">
        <f>63659*0.5</f>
        <v>31829.5</v>
      </c>
      <c r="M35" s="12">
        <f>H35-(K35+L35+I35)</f>
        <v>22106.968888888892</v>
      </c>
      <c r="N35" s="54">
        <f>IF(H35&gt;0,IF(J35&gt;0,+H35/J35,"n/m"),0)</f>
        <v>0.84850096264098362</v>
      </c>
      <c r="O35" s="14">
        <v>30984</v>
      </c>
      <c r="P35" s="13">
        <f>+O35*$G$181</f>
        <v>5577.12</v>
      </c>
      <c r="Q35" s="14">
        <v>57829.75</v>
      </c>
      <c r="R35" s="21">
        <f>Q35/18</f>
        <v>3212.7638888888887</v>
      </c>
      <c r="S35" s="13">
        <v>14729.5</v>
      </c>
      <c r="T35" s="14">
        <f>O35-(R35+S35+P35)</f>
        <v>7464.6161111111105</v>
      </c>
      <c r="U35" s="56">
        <f>IF(O35&gt;0,IF(Q35&gt;0,+O35/Q35,"n/m"),0)</f>
        <v>0.53577959441291034</v>
      </c>
      <c r="V35" s="16">
        <v>82293</v>
      </c>
      <c r="W35" s="15">
        <f>+V35*$G$181</f>
        <v>14812.74</v>
      </c>
      <c r="X35" s="16">
        <v>118875.75</v>
      </c>
      <c r="Y35" s="22">
        <f>X35/18</f>
        <v>6604.208333333333</v>
      </c>
      <c r="Z35" s="15">
        <v>36634</v>
      </c>
      <c r="AA35" s="16">
        <f>V35-(Y35+Z35+W35)</f>
        <v>24242.051666666666</v>
      </c>
      <c r="AB35" s="58">
        <f>IF(V35&gt;0,IF(X35&gt;0,+V35/X35,"n/m"),0)</f>
        <v>0.69226061665226091</v>
      </c>
      <c r="AC35" s="162">
        <f t="shared" si="43"/>
        <v>184761</v>
      </c>
      <c r="AD35" s="163">
        <f t="shared" si="44"/>
        <v>33256.979999999996</v>
      </c>
      <c r="AE35" s="163">
        <f t="shared" si="45"/>
        <v>82729.833333333328</v>
      </c>
      <c r="AF35" s="163">
        <f t="shared" si="46"/>
        <v>14497.383333333331</v>
      </c>
      <c r="AG35" s="163">
        <f t="shared" si="47"/>
        <v>83193</v>
      </c>
      <c r="AH35" s="163">
        <f t="shared" si="48"/>
        <v>53813.636666666687</v>
      </c>
    </row>
    <row r="36" spans="1:34" ht="16.5" customHeight="1" x14ac:dyDescent="0.25">
      <c r="A36" s="9"/>
      <c r="B36" s="70" t="s">
        <v>291</v>
      </c>
      <c r="C36" s="70" t="s">
        <v>292</v>
      </c>
      <c r="D36" s="31" t="s">
        <v>270</v>
      </c>
      <c r="E36" s="31" t="s">
        <v>134</v>
      </c>
      <c r="F36" s="31">
        <v>2482</v>
      </c>
      <c r="G36" s="129">
        <v>0.4</v>
      </c>
      <c r="H36" s="12">
        <v>18820</v>
      </c>
      <c r="I36" s="11">
        <f>+H36*$G$181</f>
        <v>3387.6</v>
      </c>
      <c r="J36" s="45">
        <v>106415.6</v>
      </c>
      <c r="K36" s="20">
        <f>+J36/18</f>
        <v>5911.9777777777781</v>
      </c>
      <c r="L36" s="11">
        <f>8500*0.4</f>
        <v>3400</v>
      </c>
      <c r="M36" s="12">
        <f>H36-(K36+L36+I36)</f>
        <v>6120.4222222222215</v>
      </c>
      <c r="N36" s="54">
        <f>IF(H36&gt;0,IF(J36&gt;0,+H36/J36,"n/m"),0)</f>
        <v>0.17685376956010207</v>
      </c>
      <c r="O36" s="14">
        <v>41412.5</v>
      </c>
      <c r="P36" s="13">
        <f>+O36*$G$181</f>
        <v>7454.25</v>
      </c>
      <c r="Q36" s="14">
        <v>225473</v>
      </c>
      <c r="R36" s="21">
        <f>Q36/18</f>
        <v>12526.277777777777</v>
      </c>
      <c r="S36" s="13">
        <v>11805</v>
      </c>
      <c r="T36" s="14">
        <f>O36-(R36+S36+P36)</f>
        <v>9626.9722222222226</v>
      </c>
      <c r="U36" s="56">
        <f>IF(O36&gt;0,IF(Q36&gt;0,+O36/Q36,"n/m"),0)</f>
        <v>0.18366944157393569</v>
      </c>
      <c r="V36" s="16">
        <v>65605</v>
      </c>
      <c r="W36" s="15">
        <f>+V36*$G$181</f>
        <v>11808.9</v>
      </c>
      <c r="X36" s="16">
        <v>291836.25</v>
      </c>
      <c r="Y36" s="22">
        <f>X36/18</f>
        <v>16213.125</v>
      </c>
      <c r="Z36" s="15">
        <v>26242</v>
      </c>
      <c r="AA36" s="16">
        <f>V36-(Y36+Z36+W36)</f>
        <v>11340.974999999999</v>
      </c>
      <c r="AB36" s="58">
        <f>IF(V36&gt;0,IF(X36&gt;0,+V36/X36,"n/m"),0)</f>
        <v>0.22480072300819381</v>
      </c>
      <c r="AC36" s="162">
        <f t="shared" si="43"/>
        <v>125837.5</v>
      </c>
      <c r="AD36" s="163">
        <f t="shared" si="44"/>
        <v>22650.75</v>
      </c>
      <c r="AE36" s="163">
        <f t="shared" si="45"/>
        <v>178709.75</v>
      </c>
      <c r="AF36" s="163">
        <f t="shared" si="46"/>
        <v>34651.380555555559</v>
      </c>
      <c r="AG36" s="163">
        <f t="shared" si="47"/>
        <v>41447</v>
      </c>
      <c r="AH36" s="163">
        <f t="shared" si="48"/>
        <v>27088.369444444441</v>
      </c>
    </row>
    <row r="37" spans="1:34" ht="16.5" customHeight="1" x14ac:dyDescent="0.25">
      <c r="A37" s="9"/>
      <c r="B37" s="70" t="s">
        <v>98</v>
      </c>
      <c r="C37" s="70" t="s">
        <v>99</v>
      </c>
      <c r="D37" s="31" t="s">
        <v>85</v>
      </c>
      <c r="E37" s="31" t="s">
        <v>134</v>
      </c>
      <c r="F37" s="31">
        <v>2958</v>
      </c>
      <c r="G37" s="127" t="s">
        <v>8</v>
      </c>
      <c r="H37" s="12">
        <v>61525</v>
      </c>
      <c r="I37" s="11">
        <f>+H37*$G$183</f>
        <v>15381.25</v>
      </c>
      <c r="J37" s="45">
        <v>178735.6</v>
      </c>
      <c r="K37" s="20">
        <f t="shared" si="34"/>
        <v>9929.7555555555555</v>
      </c>
      <c r="L37" s="12">
        <v>0</v>
      </c>
      <c r="M37" s="12">
        <f t="shared" si="35"/>
        <v>36213.994444444441</v>
      </c>
      <c r="N37" s="54">
        <f t="shared" si="36"/>
        <v>0.34422353465118305</v>
      </c>
      <c r="O37" s="14">
        <v>53050</v>
      </c>
      <c r="P37" s="13">
        <f>+O37*$G$183</f>
        <v>13262.5</v>
      </c>
      <c r="Q37" s="14">
        <v>172542.75</v>
      </c>
      <c r="R37" s="21">
        <f t="shared" si="37"/>
        <v>9585.7083333333339</v>
      </c>
      <c r="S37" s="14">
        <v>0</v>
      </c>
      <c r="T37" s="14">
        <f t="shared" si="38"/>
        <v>30201.791666666664</v>
      </c>
      <c r="U37" s="56">
        <f t="shared" si="39"/>
        <v>0.30746003526662236</v>
      </c>
      <c r="V37" s="16">
        <v>36075</v>
      </c>
      <c r="W37" s="15">
        <f>+V37*$G$183</f>
        <v>9018.75</v>
      </c>
      <c r="X37" s="16">
        <v>188265.25</v>
      </c>
      <c r="Y37" s="22">
        <f t="shared" si="40"/>
        <v>10459.180555555555</v>
      </c>
      <c r="Z37" s="16">
        <v>0</v>
      </c>
      <c r="AA37" s="16">
        <f t="shared" si="41"/>
        <v>16597.069444444445</v>
      </c>
      <c r="AB37" s="58">
        <f t="shared" si="42"/>
        <v>0.19161794330074192</v>
      </c>
      <c r="AC37" s="162">
        <f t="shared" si="43"/>
        <v>150650</v>
      </c>
      <c r="AD37" s="163">
        <f t="shared" si="44"/>
        <v>37662.5</v>
      </c>
      <c r="AE37" s="163">
        <f t="shared" si="45"/>
        <v>140777.66666666666</v>
      </c>
      <c r="AF37" s="163">
        <f t="shared" si="46"/>
        <v>29974.644444444442</v>
      </c>
      <c r="AG37" s="163">
        <f t="shared" si="47"/>
        <v>0</v>
      </c>
      <c r="AH37" s="163">
        <f t="shared" si="48"/>
        <v>83012.85555555555</v>
      </c>
    </row>
    <row r="38" spans="1:34" x14ac:dyDescent="0.25">
      <c r="A38" s="9"/>
      <c r="B38" s="70" t="s">
        <v>157</v>
      </c>
      <c r="C38" s="70" t="s">
        <v>158</v>
      </c>
      <c r="D38" s="31" t="s">
        <v>251</v>
      </c>
      <c r="E38" s="31" t="s">
        <v>131</v>
      </c>
      <c r="F38" s="31">
        <v>2339</v>
      </c>
      <c r="G38" s="127" t="s">
        <v>8</v>
      </c>
      <c r="H38" s="12">
        <v>19380</v>
      </c>
      <c r="I38" s="11">
        <f>+H38*$G$181</f>
        <v>3488.4</v>
      </c>
      <c r="J38" s="45">
        <v>130279.8</v>
      </c>
      <c r="K38" s="20">
        <f>+J38/18</f>
        <v>7237.7666666666664</v>
      </c>
      <c r="L38" s="11">
        <f>+H38*0.35</f>
        <v>6783</v>
      </c>
      <c r="M38" s="12">
        <f>H38-(K38+L38+I38)</f>
        <v>1870.8333333333321</v>
      </c>
      <c r="N38" s="54">
        <f>IF(H38&gt;0,IF(J38&gt;0,+H38/J38,"n/m"),0)</f>
        <v>0.14875675277364564</v>
      </c>
      <c r="O38" s="14">
        <v>25020</v>
      </c>
      <c r="P38" s="35">
        <f>+O38*$G$181</f>
        <v>4503.5999999999995</v>
      </c>
      <c r="Q38" s="14">
        <v>106084.25</v>
      </c>
      <c r="R38" s="21">
        <f>Q38/18</f>
        <v>5893.5694444444443</v>
      </c>
      <c r="S38" s="13"/>
      <c r="T38" s="34">
        <f>O38-(R38+S38+P38)</f>
        <v>14622.830555555556</v>
      </c>
      <c r="U38" s="56">
        <f>IF(O38&gt;0,IF(Q38&gt;0,+O38/Q38,"n/m"),0)</f>
        <v>0.23585027937700459</v>
      </c>
      <c r="V38" s="16">
        <v>29860</v>
      </c>
      <c r="W38" s="15">
        <f>+V38*$G$181</f>
        <v>5374.8</v>
      </c>
      <c r="X38" s="16">
        <v>107041.25</v>
      </c>
      <c r="Y38" s="22">
        <f>X38/18</f>
        <v>5946.7361111111113</v>
      </c>
      <c r="Z38" s="15">
        <v>6776</v>
      </c>
      <c r="AA38" s="16">
        <f>V38-(Y38+Z38+W38)</f>
        <v>11762.463888888888</v>
      </c>
      <c r="AB38" s="58">
        <f>IF(V38&gt;0,IF(X38&gt;0,+V38/X38,"n/m"),0)</f>
        <v>0.27895787838800462</v>
      </c>
      <c r="AC38" s="162">
        <f t="shared" si="43"/>
        <v>74260</v>
      </c>
      <c r="AD38" s="163">
        <f t="shared" si="44"/>
        <v>13366.8</v>
      </c>
      <c r="AE38" s="163">
        <f t="shared" si="45"/>
        <v>77501.833333333328</v>
      </c>
      <c r="AF38" s="163">
        <f t="shared" si="46"/>
        <v>19078.072222222225</v>
      </c>
      <c r="AG38" s="163">
        <f t="shared" si="47"/>
        <v>13559</v>
      </c>
      <c r="AH38" s="163">
        <f t="shared" si="48"/>
        <v>28256.127777777772</v>
      </c>
    </row>
    <row r="39" spans="1:34" ht="16.5" customHeight="1" x14ac:dyDescent="0.25">
      <c r="A39" s="9"/>
      <c r="B39" s="71" t="s">
        <v>40</v>
      </c>
      <c r="C39" s="71" t="s">
        <v>39</v>
      </c>
      <c r="D39" s="32" t="s">
        <v>87</v>
      </c>
      <c r="E39" s="31" t="s">
        <v>134</v>
      </c>
      <c r="F39" s="32" t="s">
        <v>36</v>
      </c>
      <c r="G39" s="129" t="s">
        <v>51</v>
      </c>
      <c r="H39" s="12">
        <v>19068</v>
      </c>
      <c r="I39" s="11">
        <f>+H39*$G$183</f>
        <v>4767</v>
      </c>
      <c r="J39" s="45">
        <v>102812</v>
      </c>
      <c r="K39" s="20">
        <f t="shared" si="34"/>
        <v>5711.7777777777774</v>
      </c>
      <c r="L39" s="11">
        <f>+H39*0.03</f>
        <v>572.04</v>
      </c>
      <c r="M39" s="12">
        <f t="shared" si="35"/>
        <v>8017.1822222222218</v>
      </c>
      <c r="N39" s="54">
        <f t="shared" si="36"/>
        <v>0.18546473174337627</v>
      </c>
      <c r="O39" s="14">
        <v>21782</v>
      </c>
      <c r="P39" s="13">
        <f>+O39*$G$183</f>
        <v>5445.5</v>
      </c>
      <c r="Q39" s="14">
        <v>99083</v>
      </c>
      <c r="R39" s="21">
        <f t="shared" si="37"/>
        <v>5504.6111111111113</v>
      </c>
      <c r="S39" s="13">
        <f>+O39*0.03</f>
        <v>653.45999999999992</v>
      </c>
      <c r="T39" s="14">
        <f t="shared" si="38"/>
        <v>10178.428888888888</v>
      </c>
      <c r="U39" s="56">
        <f t="shared" si="39"/>
        <v>0.21983589515860441</v>
      </c>
      <c r="V39" s="16">
        <v>30282</v>
      </c>
      <c r="W39" s="15">
        <f>+V39*$G$183</f>
        <v>7570.5</v>
      </c>
      <c r="X39" s="16">
        <v>98238</v>
      </c>
      <c r="Y39" s="22">
        <f t="shared" si="40"/>
        <v>5457.666666666667</v>
      </c>
      <c r="Z39" s="15">
        <f>+V39*0.03</f>
        <v>908.45999999999992</v>
      </c>
      <c r="AA39" s="16">
        <f t="shared" si="41"/>
        <v>16345.373333333333</v>
      </c>
      <c r="AB39" s="58">
        <f t="shared" si="42"/>
        <v>0.30825138948268493</v>
      </c>
      <c r="AC39" s="162">
        <f t="shared" si="43"/>
        <v>71132</v>
      </c>
      <c r="AD39" s="163">
        <f t="shared" si="44"/>
        <v>17783</v>
      </c>
      <c r="AE39" s="163">
        <f t="shared" si="45"/>
        <v>72129.666666666672</v>
      </c>
      <c r="AF39" s="163">
        <f t="shared" si="46"/>
        <v>16674.055555555555</v>
      </c>
      <c r="AG39" s="163">
        <f t="shared" si="47"/>
        <v>2133.96</v>
      </c>
      <c r="AH39" s="163">
        <f t="shared" si="48"/>
        <v>34540.984444444446</v>
      </c>
    </row>
    <row r="40" spans="1:34" ht="16.5" customHeight="1" x14ac:dyDescent="0.25">
      <c r="A40" s="9"/>
      <c r="B40" s="69" t="s">
        <v>48</v>
      </c>
      <c r="C40" s="69" t="s">
        <v>47</v>
      </c>
      <c r="D40" s="32" t="s">
        <v>85</v>
      </c>
      <c r="E40" s="31" t="s">
        <v>134</v>
      </c>
      <c r="F40" s="32">
        <v>2307</v>
      </c>
      <c r="G40" s="127" t="s">
        <v>8</v>
      </c>
      <c r="H40" s="12">
        <v>2390</v>
      </c>
      <c r="I40" s="11">
        <f>+H40*$G$183</f>
        <v>597.5</v>
      </c>
      <c r="J40" s="45">
        <v>29745.599999999999</v>
      </c>
      <c r="K40" s="20">
        <f t="shared" si="34"/>
        <v>1652.5333333333333</v>
      </c>
      <c r="L40" s="12">
        <v>0</v>
      </c>
      <c r="M40" s="37">
        <f t="shared" si="35"/>
        <v>139.9666666666667</v>
      </c>
      <c r="N40" s="54">
        <f t="shared" si="36"/>
        <v>8.0348017858103388E-2</v>
      </c>
      <c r="O40" s="14">
        <v>4475</v>
      </c>
      <c r="P40" s="13">
        <f>+O40*$G$183</f>
        <v>1118.75</v>
      </c>
      <c r="Q40" s="14">
        <v>41729.5</v>
      </c>
      <c r="R40" s="21">
        <f t="shared" si="37"/>
        <v>2318.3055555555557</v>
      </c>
      <c r="S40" s="14">
        <v>0</v>
      </c>
      <c r="T40" s="14">
        <f t="shared" si="38"/>
        <v>1037.9444444444443</v>
      </c>
      <c r="U40" s="56">
        <f t="shared" si="39"/>
        <v>0.10723828466672258</v>
      </c>
      <c r="V40" s="16">
        <v>4175</v>
      </c>
      <c r="W40" s="15">
        <f>+V40*$G$183</f>
        <v>1043.75</v>
      </c>
      <c r="X40" s="16">
        <v>33781</v>
      </c>
      <c r="Y40" s="22">
        <f t="shared" si="40"/>
        <v>1876.7222222222222</v>
      </c>
      <c r="Z40" s="16">
        <v>0</v>
      </c>
      <c r="AA40" s="16">
        <f t="shared" si="41"/>
        <v>1254.5277777777778</v>
      </c>
      <c r="AB40" s="58">
        <f t="shared" si="42"/>
        <v>0.12359018383114768</v>
      </c>
      <c r="AC40" s="162">
        <f t="shared" si="43"/>
        <v>11040</v>
      </c>
      <c r="AD40" s="163">
        <f t="shared" si="44"/>
        <v>2760</v>
      </c>
      <c r="AE40" s="163">
        <f t="shared" si="45"/>
        <v>25966.833333333332</v>
      </c>
      <c r="AF40" s="163">
        <f t="shared" si="46"/>
        <v>5847.5611111111111</v>
      </c>
      <c r="AG40" s="163">
        <f t="shared" si="47"/>
        <v>0</v>
      </c>
      <c r="AH40" s="163">
        <f t="shared" si="48"/>
        <v>2432.4388888888889</v>
      </c>
    </row>
    <row r="41" spans="1:34" ht="16.5" customHeight="1" x14ac:dyDescent="0.25">
      <c r="A41" s="9"/>
      <c r="B41" s="69" t="s">
        <v>195</v>
      </c>
      <c r="C41" s="69" t="s">
        <v>196</v>
      </c>
      <c r="D41" s="32" t="s">
        <v>85</v>
      </c>
      <c r="E41" s="31" t="s">
        <v>134</v>
      </c>
      <c r="F41" s="32">
        <v>2402</v>
      </c>
      <c r="G41" s="127" t="s">
        <v>8</v>
      </c>
      <c r="H41" s="12">
        <v>6900</v>
      </c>
      <c r="I41" s="11">
        <f>+H41*$G$183</f>
        <v>1725</v>
      </c>
      <c r="J41" s="45">
        <v>34759.199999999997</v>
      </c>
      <c r="K41" s="20">
        <f t="shared" si="34"/>
        <v>1931.0666666666666</v>
      </c>
      <c r="L41" s="12">
        <v>0</v>
      </c>
      <c r="M41" s="37">
        <f t="shared" si="35"/>
        <v>3243.9333333333334</v>
      </c>
      <c r="N41" s="54">
        <f t="shared" si="36"/>
        <v>0.19850859628530002</v>
      </c>
      <c r="O41" s="14">
        <v>3000</v>
      </c>
      <c r="P41" s="13">
        <f>+O41*$G$183</f>
        <v>750</v>
      </c>
      <c r="Q41" s="14">
        <v>33820</v>
      </c>
      <c r="R41" s="21">
        <f t="shared" si="37"/>
        <v>1878.8888888888889</v>
      </c>
      <c r="S41" s="14">
        <v>0</v>
      </c>
      <c r="T41" s="14">
        <f t="shared" si="38"/>
        <v>371.11111111111131</v>
      </c>
      <c r="U41" s="56">
        <f t="shared" si="39"/>
        <v>8.870490833826139E-2</v>
      </c>
      <c r="V41" s="16">
        <v>3700</v>
      </c>
      <c r="W41" s="15">
        <f>+V41*$G$183</f>
        <v>925</v>
      </c>
      <c r="X41" s="16">
        <v>33795</v>
      </c>
      <c r="Y41" s="22">
        <f t="shared" si="40"/>
        <v>1877.5</v>
      </c>
      <c r="Z41" s="16">
        <v>0</v>
      </c>
      <c r="AA41" s="16">
        <f t="shared" si="41"/>
        <v>897.5</v>
      </c>
      <c r="AB41" s="58">
        <f t="shared" si="42"/>
        <v>0.10948365142772599</v>
      </c>
      <c r="AC41" s="162">
        <f t="shared" si="43"/>
        <v>13600</v>
      </c>
      <c r="AD41" s="163">
        <f t="shared" si="44"/>
        <v>3400</v>
      </c>
      <c r="AE41" s="163">
        <f t="shared" si="45"/>
        <v>24838.333333333332</v>
      </c>
      <c r="AF41" s="163">
        <f t="shared" si="46"/>
        <v>5687.4555555555553</v>
      </c>
      <c r="AG41" s="163">
        <f t="shared" si="47"/>
        <v>0</v>
      </c>
      <c r="AH41" s="163">
        <f t="shared" si="48"/>
        <v>4512.5444444444447</v>
      </c>
    </row>
    <row r="42" spans="1:34" ht="16.5" customHeight="1" thickBot="1" x14ac:dyDescent="0.3">
      <c r="A42" s="9"/>
      <c r="B42" s="69" t="s">
        <v>242</v>
      </c>
      <c r="C42" s="69" t="s">
        <v>241</v>
      </c>
      <c r="D42" s="32" t="s">
        <v>85</v>
      </c>
      <c r="E42" s="31" t="s">
        <v>134</v>
      </c>
      <c r="F42" s="32">
        <v>2448</v>
      </c>
      <c r="G42" s="127" t="s">
        <v>8</v>
      </c>
      <c r="H42" s="12">
        <v>39684.5</v>
      </c>
      <c r="I42" s="11">
        <f>+H42*$G$183</f>
        <v>9921.125</v>
      </c>
      <c r="J42" s="45">
        <v>203025.8</v>
      </c>
      <c r="K42" s="20">
        <f t="shared" si="34"/>
        <v>11279.21111111111</v>
      </c>
      <c r="L42" s="12">
        <v>0</v>
      </c>
      <c r="M42" s="37">
        <f t="shared" si="35"/>
        <v>18484.163888888892</v>
      </c>
      <c r="N42" s="54">
        <f t="shared" si="36"/>
        <v>0.19546530539468385</v>
      </c>
      <c r="O42" s="14">
        <v>15760</v>
      </c>
      <c r="P42" s="13">
        <f>+O42*$G$183</f>
        <v>3940</v>
      </c>
      <c r="Q42" s="14">
        <v>163812.25</v>
      </c>
      <c r="R42" s="21">
        <f t="shared" si="37"/>
        <v>9100.6805555555547</v>
      </c>
      <c r="S42" s="14">
        <v>0</v>
      </c>
      <c r="T42" s="14">
        <f t="shared" si="38"/>
        <v>2719.3194444444453</v>
      </c>
      <c r="U42" s="56">
        <f t="shared" si="39"/>
        <v>9.6207701194507736E-2</v>
      </c>
      <c r="V42" s="16">
        <v>31295</v>
      </c>
      <c r="W42" s="15">
        <f>+V42*$G$183</f>
        <v>7823.75</v>
      </c>
      <c r="X42" s="16">
        <v>163590.5</v>
      </c>
      <c r="Y42" s="22">
        <f t="shared" si="40"/>
        <v>9088.3611111111113</v>
      </c>
      <c r="Z42" s="16">
        <v>0</v>
      </c>
      <c r="AA42" s="16">
        <f t="shared" si="41"/>
        <v>14382.888888888891</v>
      </c>
      <c r="AB42" s="58">
        <f t="shared" si="42"/>
        <v>0.19130083959643132</v>
      </c>
      <c r="AC42" s="162">
        <f t="shared" si="43"/>
        <v>86739.5</v>
      </c>
      <c r="AD42" s="163">
        <f t="shared" si="44"/>
        <v>21684.875</v>
      </c>
      <c r="AE42" s="163">
        <f t="shared" si="45"/>
        <v>122362.41666666667</v>
      </c>
      <c r="AF42" s="163">
        <f t="shared" si="46"/>
        <v>29468.252777777772</v>
      </c>
      <c r="AG42" s="163">
        <f t="shared" si="47"/>
        <v>0</v>
      </c>
      <c r="AH42" s="163">
        <f t="shared" si="48"/>
        <v>35586.372222222228</v>
      </c>
    </row>
    <row r="43" spans="1:34" ht="16.5" customHeight="1" thickBot="1" x14ac:dyDescent="0.3">
      <c r="A43" s="9"/>
      <c r="B43" s="59" t="s">
        <v>139</v>
      </c>
      <c r="C43" s="61"/>
      <c r="D43" s="33"/>
      <c r="E43" s="33"/>
      <c r="F43" s="33"/>
      <c r="G43" s="46"/>
      <c r="H43" s="80">
        <f>SUM(H33:H42)</f>
        <v>239251.5</v>
      </c>
      <c r="I43" s="76">
        <f>SUM(I33:I42)</f>
        <v>52134.995000000003</v>
      </c>
      <c r="J43" s="80">
        <f>SUM(J33:J42)</f>
        <v>1015451</v>
      </c>
      <c r="K43" s="76">
        <f>SUM(K33:K42)</f>
        <v>56413.944444444438</v>
      </c>
      <c r="L43" s="77">
        <f>SUM(L33:L42)</f>
        <v>42584.54</v>
      </c>
      <c r="M43" s="80">
        <f t="shared" si="35"/>
        <v>88118.020555555559</v>
      </c>
      <c r="N43" s="81">
        <f t="shared" si="36"/>
        <v>0.23561107330634368</v>
      </c>
      <c r="O43" s="95">
        <f>SUM(O33:O42)</f>
        <v>195483.5</v>
      </c>
      <c r="P43" s="82">
        <f>SUM(P33:P42)</f>
        <v>42051.72</v>
      </c>
      <c r="Q43" s="95">
        <f>SUM(Q33:Q42)</f>
        <v>1018811.25</v>
      </c>
      <c r="R43" s="82">
        <f>SUM(R33:R42)</f>
        <v>56600.625</v>
      </c>
      <c r="S43" s="83">
        <f>SUM(S33:S42)</f>
        <v>27187.96</v>
      </c>
      <c r="T43" s="95">
        <f t="shared" si="38"/>
        <v>69643.195000000007</v>
      </c>
      <c r="U43" s="85">
        <f t="shared" si="39"/>
        <v>0.19187410818245285</v>
      </c>
      <c r="V43" s="97">
        <f>SUM(V33:V42)</f>
        <v>296035</v>
      </c>
      <c r="W43" s="86">
        <f>SUM(W33:W42)</f>
        <v>61565.69</v>
      </c>
      <c r="X43" s="97">
        <f>SUM(X33:X42)</f>
        <v>1152717.5</v>
      </c>
      <c r="Y43" s="86">
        <f>SUM(Y33:Y42)</f>
        <v>64039.861111111102</v>
      </c>
      <c r="Z43" s="87">
        <f>SUM(Z33:Z42)</f>
        <v>70560.460000000006</v>
      </c>
      <c r="AA43" s="97">
        <f t="shared" si="41"/>
        <v>99868.988888888882</v>
      </c>
      <c r="AB43" s="89">
        <f t="shared" si="42"/>
        <v>0.25681487441632489</v>
      </c>
      <c r="AC43" s="164">
        <f>SUM(AC33:AC42)</f>
        <v>730770</v>
      </c>
      <c r="AD43" s="165">
        <f>SUM(AD33:AD42)</f>
        <v>155752.405</v>
      </c>
      <c r="AE43" s="164">
        <f>SUM(AE33:AE42)</f>
        <v>803593.41666666674</v>
      </c>
      <c r="AF43" s="168">
        <f>SUM(AF33:AF42)</f>
        <v>177054.43055555556</v>
      </c>
      <c r="AG43" s="168">
        <f>SUM(AG33:AG42)</f>
        <v>140332.96</v>
      </c>
      <c r="AH43" s="164">
        <f t="shared" ref="AH43" si="49">AC43-(AF43+AG43+AD43)</f>
        <v>257630.20444444439</v>
      </c>
    </row>
    <row r="44" spans="1:34" ht="16.5" customHeight="1" x14ac:dyDescent="0.25">
      <c r="A44" s="9"/>
      <c r="B44" s="61"/>
      <c r="C44" s="61"/>
      <c r="D44" s="33"/>
      <c r="E44" s="33"/>
      <c r="F44" s="33"/>
      <c r="G44" s="46"/>
      <c r="H44" s="77"/>
      <c r="I44" s="77"/>
      <c r="J44" s="78"/>
      <c r="K44" s="79"/>
      <c r="L44" s="99">
        <f>+L43/H43</f>
        <v>0.17799069180339516</v>
      </c>
      <c r="M44" s="81"/>
      <c r="N44" s="81"/>
      <c r="O44" s="83"/>
      <c r="P44" s="83"/>
      <c r="Q44" s="82"/>
      <c r="R44" s="84"/>
      <c r="S44" s="106">
        <f>+S43/O43</f>
        <v>0.13908058736415094</v>
      </c>
      <c r="T44" s="82"/>
      <c r="U44" s="85"/>
      <c r="V44" s="87"/>
      <c r="W44" s="87"/>
      <c r="X44" s="86"/>
      <c r="Y44" s="88"/>
      <c r="Z44" s="107">
        <f>+Z43/V43</f>
        <v>0.23835174894860406</v>
      </c>
      <c r="AA44" s="86"/>
      <c r="AB44" s="89"/>
      <c r="AC44" s="169"/>
      <c r="AD44" s="167"/>
      <c r="AE44" s="167"/>
      <c r="AF44" s="167"/>
      <c r="AG44" s="167"/>
      <c r="AH44" s="167"/>
    </row>
    <row r="45" spans="1:34" ht="16.5" customHeight="1" x14ac:dyDescent="0.25">
      <c r="A45" s="17"/>
      <c r="B45" s="70" t="s">
        <v>9</v>
      </c>
      <c r="C45" s="70" t="s">
        <v>23</v>
      </c>
      <c r="D45" s="31" t="s">
        <v>72</v>
      </c>
      <c r="E45" s="31" t="s">
        <v>132</v>
      </c>
      <c r="F45" s="31">
        <v>2122</v>
      </c>
      <c r="G45" s="126">
        <v>0.4</v>
      </c>
      <c r="H45" s="12">
        <v>38750</v>
      </c>
      <c r="I45" s="11">
        <f t="shared" ref="I45:I62" si="50">+H45*$G$181</f>
        <v>6975</v>
      </c>
      <c r="J45" s="45">
        <v>54854</v>
      </c>
      <c r="K45" s="20">
        <f t="shared" ref="K45:K63" si="51">J45/18</f>
        <v>3047.4444444444443</v>
      </c>
      <c r="L45" s="11">
        <f t="shared" ref="L45:L48" si="52">IF(+H45&gt;0,+H45*$G45,0)</f>
        <v>15500</v>
      </c>
      <c r="M45" s="12">
        <f t="shared" ref="M45:M63" si="53">H45-(K45+L45+I45)</f>
        <v>13227.555555555555</v>
      </c>
      <c r="N45" s="54">
        <f t="shared" ref="N45:N63" si="54">IF(H45&gt;0,IF(J45&gt;0,+H45/J45,"n/m"),0)</f>
        <v>0.70642068035147842</v>
      </c>
      <c r="O45" s="14">
        <v>25925</v>
      </c>
      <c r="P45" s="13">
        <f t="shared" ref="P45:P62" si="55">+O45*$G$181</f>
        <v>4666.5</v>
      </c>
      <c r="Q45" s="14">
        <v>53820</v>
      </c>
      <c r="R45" s="21">
        <f t="shared" ref="R45:R63" si="56">Q45/18</f>
        <v>2990</v>
      </c>
      <c r="S45" s="13">
        <f t="shared" ref="S45:S48" si="57">IF(+O45&gt;0,+O45*$G45,0)</f>
        <v>10370</v>
      </c>
      <c r="T45" s="14">
        <f t="shared" ref="T45:T63" si="58">O45-(R45+S45+P45)</f>
        <v>7898.5</v>
      </c>
      <c r="U45" s="56">
        <f t="shared" ref="U45:U63" si="59">IF(O45&gt;0,IF(Q45&gt;0,+O45/Q45,"n/m"),0)</f>
        <v>0.48169825343738387</v>
      </c>
      <c r="V45" s="16">
        <v>32200</v>
      </c>
      <c r="W45" s="15">
        <f t="shared" ref="W45:W62" si="60">+V45*$G$181</f>
        <v>5796</v>
      </c>
      <c r="X45" s="16">
        <v>53427.5</v>
      </c>
      <c r="Y45" s="22">
        <f t="shared" ref="Y45:Y63" si="61">X45/18</f>
        <v>2968.1944444444443</v>
      </c>
      <c r="Z45" s="15">
        <f t="shared" ref="Z45:Z48" si="62">IF(+V45&gt;0,+V45*$G45,0)</f>
        <v>12880</v>
      </c>
      <c r="AA45" s="16">
        <f t="shared" ref="AA45:AA63" si="63">V45-(Y45+Z45+W45)</f>
        <v>10555.805555555555</v>
      </c>
      <c r="AB45" s="58">
        <f t="shared" ref="AB45:AB63" si="64">IF(V45&gt;0,IF(X45&gt;0,+V45/X45,"n/m"),0)</f>
        <v>0.60268588273829016</v>
      </c>
      <c r="AC45" s="162">
        <f t="shared" ref="AC45:AC62" si="65">+H45+O45+V45</f>
        <v>96875</v>
      </c>
      <c r="AD45" s="163">
        <f t="shared" ref="AD45:AD62" si="66">+I45+P45+W45</f>
        <v>17437.5</v>
      </c>
      <c r="AE45" s="163">
        <f t="shared" ref="AE45:AE62" si="67">(+H45+Q45+X45)/3</f>
        <v>48665.833333333336</v>
      </c>
      <c r="AF45" s="163">
        <f t="shared" ref="AF45:AF62" si="68">+K45+R45+Y45</f>
        <v>9005.6388888888887</v>
      </c>
      <c r="AG45" s="163">
        <f t="shared" ref="AG45:AG62" si="69">+L45+S45+Z45</f>
        <v>38750</v>
      </c>
      <c r="AH45" s="163">
        <f t="shared" ref="AH45:AH62" si="70">+AC45-AD45-AF45-AG45</f>
        <v>31681.861111111109</v>
      </c>
    </row>
    <row r="46" spans="1:34" ht="16.5" customHeight="1" x14ac:dyDescent="0.25">
      <c r="A46" s="17"/>
      <c r="B46" s="69" t="s">
        <v>60</v>
      </c>
      <c r="C46" s="69" t="s">
        <v>61</v>
      </c>
      <c r="D46" s="32" t="s">
        <v>170</v>
      </c>
      <c r="E46" s="31" t="s">
        <v>132</v>
      </c>
      <c r="F46" s="32">
        <v>2142</v>
      </c>
      <c r="G46" s="127">
        <v>0.4</v>
      </c>
      <c r="H46" s="12">
        <v>21400</v>
      </c>
      <c r="I46" s="11">
        <f t="shared" si="50"/>
        <v>3852</v>
      </c>
      <c r="J46" s="45">
        <v>43301</v>
      </c>
      <c r="K46" s="20">
        <f t="shared" si="51"/>
        <v>2405.6111111111113</v>
      </c>
      <c r="L46" s="11">
        <f t="shared" si="52"/>
        <v>8560</v>
      </c>
      <c r="M46" s="12">
        <f t="shared" si="53"/>
        <v>6582.3888888888887</v>
      </c>
      <c r="N46" s="54">
        <f t="shared" si="54"/>
        <v>0.49421491420521468</v>
      </c>
      <c r="O46" s="14">
        <v>0</v>
      </c>
      <c r="P46" s="13">
        <f t="shared" si="55"/>
        <v>0</v>
      </c>
      <c r="Q46" s="14">
        <v>19708.75</v>
      </c>
      <c r="R46" s="21">
        <f t="shared" si="56"/>
        <v>1094.9305555555557</v>
      </c>
      <c r="S46" s="13">
        <f t="shared" si="57"/>
        <v>0</v>
      </c>
      <c r="T46" s="14">
        <f t="shared" si="58"/>
        <v>-1094.9305555555557</v>
      </c>
      <c r="U46" s="56">
        <f t="shared" si="59"/>
        <v>0</v>
      </c>
      <c r="V46" s="16">
        <v>37880</v>
      </c>
      <c r="W46" s="15">
        <f t="shared" si="60"/>
        <v>6818.4</v>
      </c>
      <c r="X46" s="16">
        <v>27630</v>
      </c>
      <c r="Y46" s="22">
        <f t="shared" si="61"/>
        <v>1535</v>
      </c>
      <c r="Z46" s="15">
        <f t="shared" si="62"/>
        <v>15152</v>
      </c>
      <c r="AA46" s="16">
        <f t="shared" si="63"/>
        <v>14374.599999999999</v>
      </c>
      <c r="AB46" s="58">
        <f t="shared" si="64"/>
        <v>1.3709735794426348</v>
      </c>
      <c r="AC46" s="162">
        <f t="shared" si="65"/>
        <v>59280</v>
      </c>
      <c r="AD46" s="163">
        <f t="shared" si="66"/>
        <v>10670.4</v>
      </c>
      <c r="AE46" s="163">
        <f t="shared" si="67"/>
        <v>22912.916666666668</v>
      </c>
      <c r="AF46" s="163">
        <f t="shared" si="68"/>
        <v>5035.541666666667</v>
      </c>
      <c r="AG46" s="163">
        <f t="shared" si="69"/>
        <v>23712</v>
      </c>
      <c r="AH46" s="163">
        <f t="shared" si="70"/>
        <v>19862.058333333334</v>
      </c>
    </row>
    <row r="47" spans="1:34" ht="16.5" customHeight="1" x14ac:dyDescent="0.25">
      <c r="A47" s="9"/>
      <c r="B47" s="70" t="s">
        <v>153</v>
      </c>
      <c r="C47" s="70" t="s">
        <v>154</v>
      </c>
      <c r="D47" s="31" t="s">
        <v>103</v>
      </c>
      <c r="E47" s="31" t="s">
        <v>132</v>
      </c>
      <c r="F47" s="31">
        <v>2205</v>
      </c>
      <c r="G47" s="130">
        <v>0.4</v>
      </c>
      <c r="H47" s="12">
        <v>9700</v>
      </c>
      <c r="I47" s="11">
        <f t="shared" si="50"/>
        <v>1746</v>
      </c>
      <c r="J47" s="45">
        <v>41602.400000000001</v>
      </c>
      <c r="K47" s="20">
        <f t="shared" si="51"/>
        <v>2311.2444444444445</v>
      </c>
      <c r="L47" s="11">
        <v>2497.5</v>
      </c>
      <c r="M47" s="12">
        <f t="shared" si="53"/>
        <v>3145.2555555555555</v>
      </c>
      <c r="N47" s="54">
        <f t="shared" si="54"/>
        <v>0.23315962540622656</v>
      </c>
      <c r="O47" s="14">
        <v>14175</v>
      </c>
      <c r="P47" s="13">
        <f t="shared" si="55"/>
        <v>2551.5</v>
      </c>
      <c r="Q47" s="14">
        <v>51780</v>
      </c>
      <c r="R47" s="21">
        <f t="shared" si="56"/>
        <v>2876.6666666666665</v>
      </c>
      <c r="S47" s="13">
        <f>+O47*0.35</f>
        <v>4961.25</v>
      </c>
      <c r="T47" s="14">
        <f t="shared" si="58"/>
        <v>3785.5833333333339</v>
      </c>
      <c r="U47" s="56">
        <f t="shared" si="59"/>
        <v>0.27375434530706838</v>
      </c>
      <c r="V47" s="16">
        <v>11400</v>
      </c>
      <c r="W47" s="15">
        <f t="shared" si="60"/>
        <v>2052</v>
      </c>
      <c r="X47" s="16">
        <v>55011.5</v>
      </c>
      <c r="Y47" s="22">
        <f t="shared" si="61"/>
        <v>3056.1944444444443</v>
      </c>
      <c r="Z47" s="15">
        <v>4135</v>
      </c>
      <c r="AA47" s="16">
        <f t="shared" si="63"/>
        <v>2156.8055555555547</v>
      </c>
      <c r="AB47" s="58">
        <f t="shared" si="64"/>
        <v>0.2072293974896158</v>
      </c>
      <c r="AC47" s="162">
        <f t="shared" si="65"/>
        <v>35275</v>
      </c>
      <c r="AD47" s="163">
        <f t="shared" si="66"/>
        <v>6349.5</v>
      </c>
      <c r="AE47" s="163">
        <f t="shared" si="67"/>
        <v>38830.5</v>
      </c>
      <c r="AF47" s="163">
        <f t="shared" si="68"/>
        <v>8244.105555555554</v>
      </c>
      <c r="AG47" s="163">
        <f t="shared" si="69"/>
        <v>11593.75</v>
      </c>
      <c r="AH47" s="163">
        <f t="shared" si="70"/>
        <v>9087.644444444446</v>
      </c>
    </row>
    <row r="48" spans="1:34" s="26" customFormat="1" ht="16.5" customHeight="1" x14ac:dyDescent="0.25">
      <c r="A48" s="60"/>
      <c r="B48" s="69" t="s">
        <v>17</v>
      </c>
      <c r="C48" s="69" t="s">
        <v>27</v>
      </c>
      <c r="D48" s="32" t="s">
        <v>83</v>
      </c>
      <c r="E48" s="31" t="s">
        <v>132</v>
      </c>
      <c r="F48" s="32">
        <v>2238</v>
      </c>
      <c r="G48" s="127">
        <v>0.4</v>
      </c>
      <c r="H48" s="12">
        <v>11300</v>
      </c>
      <c r="I48" s="11">
        <f t="shared" si="50"/>
        <v>2034</v>
      </c>
      <c r="J48" s="45">
        <v>338552.4</v>
      </c>
      <c r="K48" s="20">
        <f t="shared" si="51"/>
        <v>18808.466666666667</v>
      </c>
      <c r="L48" s="11">
        <f t="shared" si="52"/>
        <v>4520</v>
      </c>
      <c r="M48" s="12">
        <f t="shared" si="53"/>
        <v>-14062.466666666667</v>
      </c>
      <c r="N48" s="54">
        <f t="shared" si="54"/>
        <v>3.3377403320726716E-2</v>
      </c>
      <c r="O48" s="14">
        <v>92150</v>
      </c>
      <c r="P48" s="13">
        <f t="shared" si="55"/>
        <v>16587</v>
      </c>
      <c r="Q48" s="14">
        <v>342482</v>
      </c>
      <c r="R48" s="21">
        <f t="shared" si="56"/>
        <v>19026.777777777777</v>
      </c>
      <c r="S48" s="13">
        <f t="shared" si="57"/>
        <v>36860</v>
      </c>
      <c r="T48" s="14">
        <f t="shared" si="58"/>
        <v>19676.222222222219</v>
      </c>
      <c r="U48" s="56">
        <f t="shared" si="59"/>
        <v>0.26906523554522571</v>
      </c>
      <c r="V48" s="16">
        <v>69985</v>
      </c>
      <c r="W48" s="15">
        <f t="shared" si="60"/>
        <v>12597.3</v>
      </c>
      <c r="X48" s="16">
        <v>337148.25</v>
      </c>
      <c r="Y48" s="22">
        <f t="shared" si="61"/>
        <v>18730.458333333332</v>
      </c>
      <c r="Z48" s="15">
        <f t="shared" si="62"/>
        <v>27994</v>
      </c>
      <c r="AA48" s="16">
        <f t="shared" si="63"/>
        <v>10663.241666666669</v>
      </c>
      <c r="AB48" s="58">
        <f t="shared" si="64"/>
        <v>0.20757930672930974</v>
      </c>
      <c r="AC48" s="162">
        <f t="shared" si="65"/>
        <v>173435</v>
      </c>
      <c r="AD48" s="163">
        <f t="shared" si="66"/>
        <v>31218.3</v>
      </c>
      <c r="AE48" s="163">
        <f t="shared" si="67"/>
        <v>230310.08333333334</v>
      </c>
      <c r="AF48" s="163">
        <f t="shared" si="68"/>
        <v>56565.702777777769</v>
      </c>
      <c r="AG48" s="163">
        <f t="shared" si="69"/>
        <v>69374</v>
      </c>
      <c r="AH48" s="163">
        <f t="shared" si="70"/>
        <v>16276.997222222242</v>
      </c>
    </row>
    <row r="49" spans="1:34" ht="16.5" customHeight="1" x14ac:dyDescent="0.25">
      <c r="A49" s="9"/>
      <c r="B49" s="70" t="s">
        <v>68</v>
      </c>
      <c r="C49" s="70" t="s">
        <v>69</v>
      </c>
      <c r="D49" s="31" t="s">
        <v>83</v>
      </c>
      <c r="E49" s="31" t="s">
        <v>132</v>
      </c>
      <c r="F49" s="31">
        <v>2917</v>
      </c>
      <c r="G49" s="129">
        <v>0.35</v>
      </c>
      <c r="H49" s="12">
        <v>8950</v>
      </c>
      <c r="I49" s="11">
        <f t="shared" si="50"/>
        <v>1611</v>
      </c>
      <c r="J49" s="45">
        <v>102940.6</v>
      </c>
      <c r="K49" s="20">
        <f t="shared" si="51"/>
        <v>5718.9222222222224</v>
      </c>
      <c r="L49" s="11">
        <f>IF(+H49&gt;=50000,0.4*H49,0.35*H49)</f>
        <v>3132.5</v>
      </c>
      <c r="M49" s="37">
        <f t="shared" si="53"/>
        <v>-1512.4222222222234</v>
      </c>
      <c r="N49" s="54">
        <f t="shared" si="54"/>
        <v>8.694334402558368E-2</v>
      </c>
      <c r="O49" s="14">
        <v>4500</v>
      </c>
      <c r="P49" s="13">
        <f t="shared" si="55"/>
        <v>810</v>
      </c>
      <c r="Q49" s="14">
        <v>89643.5</v>
      </c>
      <c r="R49" s="21">
        <f t="shared" si="56"/>
        <v>4980.1944444444443</v>
      </c>
      <c r="S49" s="13">
        <f>IF(+O49&gt;=50000,0.4*O49,0.35*O49)</f>
        <v>1575</v>
      </c>
      <c r="T49" s="14">
        <f t="shared" si="58"/>
        <v>-2865.1944444444443</v>
      </c>
      <c r="U49" s="56">
        <f t="shared" si="59"/>
        <v>5.0198843195546808E-2</v>
      </c>
      <c r="V49" s="16">
        <v>3650</v>
      </c>
      <c r="W49" s="15">
        <f t="shared" si="60"/>
        <v>657</v>
      </c>
      <c r="X49" s="16">
        <v>90270.5</v>
      </c>
      <c r="Y49" s="22">
        <f t="shared" si="61"/>
        <v>5015.0277777777774</v>
      </c>
      <c r="Z49" s="15">
        <f>IF(+V49&gt;=50000,0.4*V49,0.35*V49)</f>
        <v>1277.5</v>
      </c>
      <c r="AA49" s="16">
        <f t="shared" si="63"/>
        <v>-3299.5277777777774</v>
      </c>
      <c r="AB49" s="58">
        <f t="shared" si="64"/>
        <v>4.0434028835555358E-2</v>
      </c>
      <c r="AC49" s="162">
        <f t="shared" si="65"/>
        <v>17100</v>
      </c>
      <c r="AD49" s="163">
        <f t="shared" si="66"/>
        <v>3078</v>
      </c>
      <c r="AE49" s="163">
        <f t="shared" si="67"/>
        <v>62954.666666666664</v>
      </c>
      <c r="AF49" s="163">
        <f t="shared" si="68"/>
        <v>15714.144444444444</v>
      </c>
      <c r="AG49" s="163">
        <f t="shared" si="69"/>
        <v>5985</v>
      </c>
      <c r="AH49" s="163">
        <f t="shared" si="70"/>
        <v>-7677.1444444444442</v>
      </c>
    </row>
    <row r="50" spans="1:34" ht="16.5" customHeight="1" x14ac:dyDescent="0.25">
      <c r="A50" s="17"/>
      <c r="B50" s="70" t="s">
        <v>150</v>
      </c>
      <c r="C50" s="70" t="s">
        <v>99</v>
      </c>
      <c r="D50" s="31" t="s">
        <v>246</v>
      </c>
      <c r="E50" s="31" t="s">
        <v>132</v>
      </c>
      <c r="F50" s="31">
        <v>2329</v>
      </c>
      <c r="G50" s="126">
        <v>0.4</v>
      </c>
      <c r="H50" s="12">
        <v>13250</v>
      </c>
      <c r="I50" s="11">
        <f t="shared" si="50"/>
        <v>2385</v>
      </c>
      <c r="J50" s="45">
        <v>141435.79999999999</v>
      </c>
      <c r="K50" s="20">
        <f>J50/18</f>
        <v>7857.5444444444438</v>
      </c>
      <c r="L50" s="11">
        <f>IF(+H50&gt;0,+H50*$G50,0)</f>
        <v>5300</v>
      </c>
      <c r="M50" s="12">
        <f>H50-(K50+L50+I50)</f>
        <v>-2292.5444444444438</v>
      </c>
      <c r="N50" s="54">
        <f>IF(H50&gt;0,IF(J50&gt;0,+H50/J50,"n/m"),0)</f>
        <v>9.368208049164356E-2</v>
      </c>
      <c r="O50" s="14">
        <v>32400</v>
      </c>
      <c r="P50" s="13">
        <f t="shared" si="55"/>
        <v>5832</v>
      </c>
      <c r="Q50" s="14">
        <v>141418.5</v>
      </c>
      <c r="R50" s="21">
        <f>Q50/18</f>
        <v>7856.583333333333</v>
      </c>
      <c r="S50" s="13">
        <f>IF(+O50&gt;0,+O50*$G50,0)</f>
        <v>12960</v>
      </c>
      <c r="T50" s="14">
        <f>O50-(R50+S50+P50)</f>
        <v>5751.4166666666679</v>
      </c>
      <c r="U50" s="56">
        <f>IF(O50&gt;0,IF(Q50&gt;0,+O50/Q50,"n/m"),0)</f>
        <v>0.22910722430233668</v>
      </c>
      <c r="V50" s="16">
        <v>29900</v>
      </c>
      <c r="W50" s="15">
        <f t="shared" si="60"/>
        <v>5382</v>
      </c>
      <c r="X50" s="16">
        <v>160647.75</v>
      </c>
      <c r="Y50" s="22">
        <f>X50/18</f>
        <v>8924.875</v>
      </c>
      <c r="Z50" s="15">
        <f>IF(+V50&gt;0,+V50*$G50,0)</f>
        <v>11960</v>
      </c>
      <c r="AA50" s="16">
        <f>V50-(Y50+Z50+W50)</f>
        <v>3633.125</v>
      </c>
      <c r="AB50" s="58">
        <f>IF(V50&gt;0,IF(X50&gt;0,+V50/X50,"n/m"),0)</f>
        <v>0.18612149874492484</v>
      </c>
      <c r="AC50" s="162">
        <f t="shared" si="65"/>
        <v>75550</v>
      </c>
      <c r="AD50" s="163">
        <f t="shared" si="66"/>
        <v>13599</v>
      </c>
      <c r="AE50" s="163">
        <f t="shared" si="67"/>
        <v>105105.41666666667</v>
      </c>
      <c r="AF50" s="163">
        <f t="shared" si="68"/>
        <v>24639.002777777776</v>
      </c>
      <c r="AG50" s="163">
        <f t="shared" si="69"/>
        <v>30220</v>
      </c>
      <c r="AH50" s="163">
        <f t="shared" si="70"/>
        <v>7091.9972222222277</v>
      </c>
    </row>
    <row r="51" spans="1:34" ht="16.5" customHeight="1" x14ac:dyDescent="0.25">
      <c r="A51" s="9"/>
      <c r="B51" s="70" t="s">
        <v>187</v>
      </c>
      <c r="C51" s="10" t="s">
        <v>188</v>
      </c>
      <c r="D51" s="31" t="s">
        <v>72</v>
      </c>
      <c r="E51" s="31" t="s">
        <v>132</v>
      </c>
      <c r="F51" s="31">
        <v>2384</v>
      </c>
      <c r="G51" s="126">
        <v>0.45</v>
      </c>
      <c r="H51" s="12">
        <v>90574</v>
      </c>
      <c r="I51" s="11">
        <f t="shared" si="50"/>
        <v>16303.32</v>
      </c>
      <c r="J51" s="45">
        <v>243830.8</v>
      </c>
      <c r="K51" s="20">
        <f t="shared" si="51"/>
        <v>13546.155555555555</v>
      </c>
      <c r="L51" s="11">
        <f>IF(+H51&gt;=100000,0.5*H51,0.45*H51)</f>
        <v>40758.300000000003</v>
      </c>
      <c r="M51" s="37">
        <f t="shared" si="53"/>
        <v>19966.224444444437</v>
      </c>
      <c r="N51" s="54">
        <f t="shared" si="54"/>
        <v>0.37146250596725272</v>
      </c>
      <c r="O51" s="14">
        <v>69699</v>
      </c>
      <c r="P51" s="13">
        <f t="shared" si="55"/>
        <v>12545.82</v>
      </c>
      <c r="Q51" s="14">
        <v>216160.25</v>
      </c>
      <c r="R51" s="21">
        <f t="shared" si="56"/>
        <v>12008.902777777777</v>
      </c>
      <c r="S51" s="13">
        <f>IF(+O51&gt;=100000,0.5*O51,0.45*O51)</f>
        <v>31364.55</v>
      </c>
      <c r="T51" s="14">
        <f t="shared" si="58"/>
        <v>13779.727222222224</v>
      </c>
      <c r="U51" s="56">
        <f t="shared" si="59"/>
        <v>0.32244133692480464</v>
      </c>
      <c r="V51" s="16">
        <v>71703</v>
      </c>
      <c r="W51" s="15">
        <f t="shared" si="60"/>
        <v>12906.539999999999</v>
      </c>
      <c r="X51" s="16">
        <v>211067.25</v>
      </c>
      <c r="Y51" s="22">
        <f t="shared" si="61"/>
        <v>11725.958333333334</v>
      </c>
      <c r="Z51" s="15">
        <f>IF(+V51&gt;=100000,0.5*V51,0.45*V51)</f>
        <v>32266.350000000002</v>
      </c>
      <c r="AA51" s="16">
        <f t="shared" si="63"/>
        <v>14804.151666666665</v>
      </c>
      <c r="AB51" s="58">
        <f t="shared" si="64"/>
        <v>0.339716370019508</v>
      </c>
      <c r="AC51" s="162">
        <f t="shared" si="65"/>
        <v>231976</v>
      </c>
      <c r="AD51" s="163">
        <f t="shared" si="66"/>
        <v>41755.68</v>
      </c>
      <c r="AE51" s="163">
        <f t="shared" si="67"/>
        <v>172600.5</v>
      </c>
      <c r="AF51" s="163">
        <f t="shared" si="68"/>
        <v>37281.01666666667</v>
      </c>
      <c r="AG51" s="163">
        <f t="shared" si="69"/>
        <v>104389.20000000001</v>
      </c>
      <c r="AH51" s="163">
        <f t="shared" si="70"/>
        <v>48550.103333333333</v>
      </c>
    </row>
    <row r="52" spans="1:34" ht="16.5" customHeight="1" x14ac:dyDescent="0.25">
      <c r="A52" s="9"/>
      <c r="B52" s="70" t="s">
        <v>206</v>
      </c>
      <c r="C52" s="10" t="s">
        <v>207</v>
      </c>
      <c r="D52" s="31" t="s">
        <v>84</v>
      </c>
      <c r="E52" s="31" t="s">
        <v>132</v>
      </c>
      <c r="F52" s="31">
        <v>2405</v>
      </c>
      <c r="G52" s="130">
        <v>0.4</v>
      </c>
      <c r="H52" s="12">
        <v>7700</v>
      </c>
      <c r="I52" s="11">
        <f t="shared" si="50"/>
        <v>1386</v>
      </c>
      <c r="J52" s="45">
        <v>144281.5</v>
      </c>
      <c r="K52" s="20">
        <f t="shared" si="51"/>
        <v>8015.6388888888887</v>
      </c>
      <c r="L52" s="11">
        <v>3850</v>
      </c>
      <c r="M52" s="37">
        <f t="shared" si="53"/>
        <v>-5551.6388888888887</v>
      </c>
      <c r="N52" s="54">
        <f t="shared" si="54"/>
        <v>5.3367895398925017E-2</v>
      </c>
      <c r="O52" s="14">
        <v>8600</v>
      </c>
      <c r="P52" s="13">
        <f t="shared" si="55"/>
        <v>1548</v>
      </c>
      <c r="Q52" s="14">
        <v>87445</v>
      </c>
      <c r="R52" s="21">
        <f t="shared" si="56"/>
        <v>4858.0555555555557</v>
      </c>
      <c r="S52" s="13">
        <f>IF(U52&gt;=0.25,+O52*(+$G52+0.05),+O52*$G52)</f>
        <v>3440</v>
      </c>
      <c r="T52" s="14">
        <f t="shared" si="58"/>
        <v>-1246.0555555555547</v>
      </c>
      <c r="U52" s="56">
        <f t="shared" si="59"/>
        <v>9.8347532734861909E-2</v>
      </c>
      <c r="V52" s="16">
        <v>6700</v>
      </c>
      <c r="W52" s="15">
        <f t="shared" si="60"/>
        <v>1206</v>
      </c>
      <c r="X52" s="16">
        <v>61413.5</v>
      </c>
      <c r="Y52" s="22">
        <f t="shared" si="61"/>
        <v>3411.8611111111113</v>
      </c>
      <c r="Z52" s="15">
        <f>IF(AB52&gt;=0.25,+V52*(+$G52+0.05),+V52*$G52)</f>
        <v>2680</v>
      </c>
      <c r="AA52" s="16">
        <f t="shared" si="63"/>
        <v>-597.86111111111131</v>
      </c>
      <c r="AB52" s="58">
        <f t="shared" si="64"/>
        <v>0.10909653414965764</v>
      </c>
      <c r="AC52" s="162">
        <f t="shared" si="65"/>
        <v>23000</v>
      </c>
      <c r="AD52" s="163">
        <f t="shared" si="66"/>
        <v>4140</v>
      </c>
      <c r="AE52" s="163">
        <f t="shared" si="67"/>
        <v>52186.166666666664</v>
      </c>
      <c r="AF52" s="163">
        <f t="shared" si="68"/>
        <v>16285.555555555557</v>
      </c>
      <c r="AG52" s="163">
        <f t="shared" si="69"/>
        <v>9970</v>
      </c>
      <c r="AH52" s="163">
        <f t="shared" si="70"/>
        <v>-7395.5555555555566</v>
      </c>
    </row>
    <row r="53" spans="1:34" ht="16.5" customHeight="1" x14ac:dyDescent="0.25">
      <c r="A53" s="9"/>
      <c r="B53" s="70" t="s">
        <v>209</v>
      </c>
      <c r="C53" s="10" t="s">
        <v>210</v>
      </c>
      <c r="D53" s="31" t="s">
        <v>103</v>
      </c>
      <c r="E53" s="31" t="s">
        <v>132</v>
      </c>
      <c r="F53" s="31">
        <v>2410</v>
      </c>
      <c r="G53" s="126">
        <v>0.4</v>
      </c>
      <c r="H53" s="12">
        <v>3400</v>
      </c>
      <c r="I53" s="11">
        <f t="shared" si="50"/>
        <v>612</v>
      </c>
      <c r="J53" s="45">
        <v>23335.200000000001</v>
      </c>
      <c r="K53" s="20">
        <f t="shared" si="51"/>
        <v>1296.4000000000001</v>
      </c>
      <c r="L53" s="11">
        <f>IF(+H53&gt;0,+H53*$G53,0)</f>
        <v>1360</v>
      </c>
      <c r="M53" s="37">
        <f t="shared" si="53"/>
        <v>131.59999999999991</v>
      </c>
      <c r="N53" s="54">
        <f t="shared" si="54"/>
        <v>0.1457026295039254</v>
      </c>
      <c r="O53" s="14">
        <v>0</v>
      </c>
      <c r="P53" s="13">
        <f t="shared" si="55"/>
        <v>0</v>
      </c>
      <c r="Q53" s="14">
        <v>20112</v>
      </c>
      <c r="R53" s="21">
        <f t="shared" si="56"/>
        <v>1117.3333333333333</v>
      </c>
      <c r="S53" s="13">
        <f>IF(+O53&gt;0,+O53*$G53,0)</f>
        <v>0</v>
      </c>
      <c r="T53" s="14">
        <f t="shared" si="58"/>
        <v>-1117.3333333333333</v>
      </c>
      <c r="U53" s="56">
        <f t="shared" si="59"/>
        <v>0</v>
      </c>
      <c r="V53" s="16">
        <v>0</v>
      </c>
      <c r="W53" s="15">
        <f t="shared" si="60"/>
        <v>0</v>
      </c>
      <c r="X53" s="16">
        <v>13054</v>
      </c>
      <c r="Y53" s="22">
        <f t="shared" si="61"/>
        <v>725.22222222222217</v>
      </c>
      <c r="Z53" s="15">
        <f>IF(+V53&gt;0,+V53*$G53,0)</f>
        <v>0</v>
      </c>
      <c r="AA53" s="16">
        <f t="shared" si="63"/>
        <v>-725.22222222222217</v>
      </c>
      <c r="AB53" s="58">
        <f t="shared" si="64"/>
        <v>0</v>
      </c>
      <c r="AC53" s="162">
        <f t="shared" si="65"/>
        <v>3400</v>
      </c>
      <c r="AD53" s="163">
        <f t="shared" si="66"/>
        <v>612</v>
      </c>
      <c r="AE53" s="163">
        <f t="shared" si="67"/>
        <v>12188.666666666666</v>
      </c>
      <c r="AF53" s="163">
        <f t="shared" si="68"/>
        <v>3138.9555555555557</v>
      </c>
      <c r="AG53" s="163">
        <f t="shared" si="69"/>
        <v>1360</v>
      </c>
      <c r="AH53" s="163">
        <f t="shared" si="70"/>
        <v>-1710.9555555555557</v>
      </c>
    </row>
    <row r="54" spans="1:34" ht="16.5" customHeight="1" x14ac:dyDescent="0.25">
      <c r="A54" s="9"/>
      <c r="B54" s="70" t="s">
        <v>215</v>
      </c>
      <c r="C54" s="10" t="s">
        <v>216</v>
      </c>
      <c r="D54" s="31" t="s">
        <v>84</v>
      </c>
      <c r="E54" s="31" t="s">
        <v>132</v>
      </c>
      <c r="F54" s="31">
        <v>2426</v>
      </c>
      <c r="G54" s="126">
        <v>0.4</v>
      </c>
      <c r="H54" s="12">
        <v>0</v>
      </c>
      <c r="I54" s="11">
        <f t="shared" si="50"/>
        <v>0</v>
      </c>
      <c r="J54" s="45">
        <v>45014</v>
      </c>
      <c r="K54" s="20">
        <f t="shared" si="51"/>
        <v>2500.7777777777778</v>
      </c>
      <c r="L54" s="11">
        <f>IF(+H54&gt;0,+H54*$G54,0)</f>
        <v>0</v>
      </c>
      <c r="M54" s="37">
        <f t="shared" si="53"/>
        <v>-2500.7777777777778</v>
      </c>
      <c r="N54" s="54">
        <f t="shared" si="54"/>
        <v>0</v>
      </c>
      <c r="O54" s="14">
        <v>0</v>
      </c>
      <c r="P54" s="13">
        <f t="shared" si="55"/>
        <v>0</v>
      </c>
      <c r="Q54" s="14">
        <v>45051.5</v>
      </c>
      <c r="R54" s="21">
        <f t="shared" si="56"/>
        <v>2502.8611111111113</v>
      </c>
      <c r="S54" s="13">
        <f>IF(+O54&gt;0,+O54*$G54,0)</f>
        <v>0</v>
      </c>
      <c r="T54" s="14">
        <f t="shared" si="58"/>
        <v>-2502.8611111111113</v>
      </c>
      <c r="U54" s="56">
        <f t="shared" si="59"/>
        <v>0</v>
      </c>
      <c r="V54" s="16">
        <v>0</v>
      </c>
      <c r="W54" s="15">
        <f t="shared" si="60"/>
        <v>0</v>
      </c>
      <c r="X54" s="16">
        <v>44431.5</v>
      </c>
      <c r="Y54" s="22">
        <f t="shared" si="61"/>
        <v>2468.4166666666665</v>
      </c>
      <c r="Z54" s="15">
        <f>IF(+V54&gt;0,+V54*$G54,0)</f>
        <v>0</v>
      </c>
      <c r="AA54" s="16">
        <f t="shared" si="63"/>
        <v>-2468.4166666666665</v>
      </c>
      <c r="AB54" s="58">
        <f t="shared" si="64"/>
        <v>0</v>
      </c>
      <c r="AC54" s="162">
        <f t="shared" si="65"/>
        <v>0</v>
      </c>
      <c r="AD54" s="163">
        <f t="shared" si="66"/>
        <v>0</v>
      </c>
      <c r="AE54" s="163">
        <f t="shared" si="67"/>
        <v>29827.666666666668</v>
      </c>
      <c r="AF54" s="163">
        <f t="shared" si="68"/>
        <v>7472.0555555555547</v>
      </c>
      <c r="AG54" s="163">
        <f t="shared" si="69"/>
        <v>0</v>
      </c>
      <c r="AH54" s="163">
        <f t="shared" si="70"/>
        <v>-7472.0555555555547</v>
      </c>
    </row>
    <row r="55" spans="1:34" ht="16.5" customHeight="1" x14ac:dyDescent="0.25">
      <c r="A55" s="9"/>
      <c r="B55" s="70" t="s">
        <v>228</v>
      </c>
      <c r="C55" s="10" t="s">
        <v>229</v>
      </c>
      <c r="D55" s="31" t="s">
        <v>84</v>
      </c>
      <c r="E55" s="31" t="s">
        <v>132</v>
      </c>
      <c r="F55" s="31">
        <v>2424</v>
      </c>
      <c r="G55" s="126">
        <v>0.4</v>
      </c>
      <c r="H55" s="12">
        <v>0</v>
      </c>
      <c r="I55" s="11">
        <f t="shared" si="50"/>
        <v>0</v>
      </c>
      <c r="J55" s="45">
        <v>0</v>
      </c>
      <c r="K55" s="20">
        <f t="shared" si="51"/>
        <v>0</v>
      </c>
      <c r="L55" s="11">
        <f>IF(+H55&gt;0,+H55*$G55,0)</f>
        <v>0</v>
      </c>
      <c r="M55" s="37">
        <f t="shared" si="53"/>
        <v>0</v>
      </c>
      <c r="N55" s="54">
        <f t="shared" si="54"/>
        <v>0</v>
      </c>
      <c r="O55" s="14">
        <v>0</v>
      </c>
      <c r="P55" s="13">
        <f t="shared" si="55"/>
        <v>0</v>
      </c>
      <c r="Q55" s="14">
        <v>0</v>
      </c>
      <c r="R55" s="21">
        <f t="shared" si="56"/>
        <v>0</v>
      </c>
      <c r="S55" s="13">
        <f>IF(+O55&gt;0,+O55*$G55,0)</f>
        <v>0</v>
      </c>
      <c r="T55" s="14">
        <f t="shared" si="58"/>
        <v>0</v>
      </c>
      <c r="U55" s="56">
        <f t="shared" si="59"/>
        <v>0</v>
      </c>
      <c r="V55" s="16">
        <v>0</v>
      </c>
      <c r="W55" s="15">
        <f t="shared" si="60"/>
        <v>0</v>
      </c>
      <c r="X55" s="16">
        <v>17068.5</v>
      </c>
      <c r="Y55" s="22">
        <f t="shared" si="61"/>
        <v>948.25</v>
      </c>
      <c r="Z55" s="15">
        <f>IF(+V55&gt;0,+V55*$G55,0)</f>
        <v>0</v>
      </c>
      <c r="AA55" s="16">
        <f t="shared" si="63"/>
        <v>-948.25</v>
      </c>
      <c r="AB55" s="58">
        <f t="shared" si="64"/>
        <v>0</v>
      </c>
      <c r="AC55" s="162">
        <f t="shared" si="65"/>
        <v>0</v>
      </c>
      <c r="AD55" s="163">
        <f t="shared" si="66"/>
        <v>0</v>
      </c>
      <c r="AE55" s="163">
        <f t="shared" si="67"/>
        <v>5689.5</v>
      </c>
      <c r="AF55" s="163">
        <f t="shared" si="68"/>
        <v>948.25</v>
      </c>
      <c r="AG55" s="163">
        <f t="shared" si="69"/>
        <v>0</v>
      </c>
      <c r="AH55" s="163">
        <f t="shared" si="70"/>
        <v>-948.25</v>
      </c>
    </row>
    <row r="56" spans="1:34" ht="16.5" customHeight="1" x14ac:dyDescent="0.25">
      <c r="A56" s="9"/>
      <c r="B56" s="70" t="s">
        <v>276</v>
      </c>
      <c r="C56" s="10" t="s">
        <v>273</v>
      </c>
      <c r="D56" s="31" t="s">
        <v>84</v>
      </c>
      <c r="E56" s="31" t="s">
        <v>132</v>
      </c>
      <c r="F56" s="31">
        <v>2459</v>
      </c>
      <c r="G56" s="126">
        <v>0.4</v>
      </c>
      <c r="H56" s="12">
        <v>0</v>
      </c>
      <c r="I56" s="11">
        <f t="shared" si="50"/>
        <v>0</v>
      </c>
      <c r="J56" s="45">
        <v>0</v>
      </c>
      <c r="K56" s="20">
        <f t="shared" si="51"/>
        <v>0</v>
      </c>
      <c r="L56" s="11">
        <f>IF(+H56&gt;0,+H56*$G56,0)</f>
        <v>0</v>
      </c>
      <c r="M56" s="37">
        <f t="shared" si="53"/>
        <v>0</v>
      </c>
      <c r="N56" s="54">
        <f t="shared" si="54"/>
        <v>0</v>
      </c>
      <c r="O56" s="14">
        <v>0</v>
      </c>
      <c r="P56" s="13">
        <f t="shared" si="55"/>
        <v>0</v>
      </c>
      <c r="Q56" s="14">
        <v>0</v>
      </c>
      <c r="R56" s="21">
        <f t="shared" si="56"/>
        <v>0</v>
      </c>
      <c r="S56" s="13">
        <f>IF(+O56&gt;0,+O56*$G56,0)</f>
        <v>0</v>
      </c>
      <c r="T56" s="14">
        <f t="shared" si="58"/>
        <v>0</v>
      </c>
      <c r="U56" s="56">
        <f t="shared" si="59"/>
        <v>0</v>
      </c>
      <c r="V56" s="16">
        <v>0</v>
      </c>
      <c r="W56" s="15">
        <f t="shared" si="60"/>
        <v>0</v>
      </c>
      <c r="X56" s="16">
        <v>0</v>
      </c>
      <c r="Y56" s="22">
        <f t="shared" si="61"/>
        <v>0</v>
      </c>
      <c r="Z56" s="15">
        <f>IF(+V56&gt;0,+V56*$G56,0)</f>
        <v>0</v>
      </c>
      <c r="AA56" s="16">
        <f t="shared" si="63"/>
        <v>0</v>
      </c>
      <c r="AB56" s="58">
        <f t="shared" si="64"/>
        <v>0</v>
      </c>
      <c r="AC56" s="162">
        <f t="shared" si="65"/>
        <v>0</v>
      </c>
      <c r="AD56" s="163">
        <f t="shared" si="66"/>
        <v>0</v>
      </c>
      <c r="AE56" s="163">
        <f t="shared" si="67"/>
        <v>0</v>
      </c>
      <c r="AF56" s="163">
        <f t="shared" si="68"/>
        <v>0</v>
      </c>
      <c r="AG56" s="163">
        <f t="shared" si="69"/>
        <v>0</v>
      </c>
      <c r="AH56" s="163">
        <f t="shared" si="70"/>
        <v>0</v>
      </c>
    </row>
    <row r="57" spans="1:34" ht="16.5" customHeight="1" x14ac:dyDescent="0.25">
      <c r="A57" s="9"/>
      <c r="B57" s="70" t="s">
        <v>284</v>
      </c>
      <c r="C57" s="10" t="s">
        <v>283</v>
      </c>
      <c r="D57" s="31" t="s">
        <v>102</v>
      </c>
      <c r="E57" s="31" t="s">
        <v>132</v>
      </c>
      <c r="F57" s="31">
        <v>2456</v>
      </c>
      <c r="G57" s="130">
        <v>0.4</v>
      </c>
      <c r="H57" s="12">
        <v>52960</v>
      </c>
      <c r="I57" s="11">
        <f t="shared" si="50"/>
        <v>9532.7999999999993</v>
      </c>
      <c r="J57" s="45">
        <v>136290.20000000001</v>
      </c>
      <c r="K57" s="20">
        <f t="shared" si="51"/>
        <v>7571.6777777777788</v>
      </c>
      <c r="L57" s="11">
        <f>IF(N57&gt;=0.25,+H57*(+$G57+0.05),+H57*$G57)</f>
        <v>23832</v>
      </c>
      <c r="M57" s="37">
        <f t="shared" si="53"/>
        <v>12023.522222222222</v>
      </c>
      <c r="N57" s="54">
        <f t="shared" si="54"/>
        <v>0.38858259801511769</v>
      </c>
      <c r="O57" s="14">
        <v>33820</v>
      </c>
      <c r="P57" s="13">
        <f t="shared" si="55"/>
        <v>6087.5999999999995</v>
      </c>
      <c r="Q57" s="14">
        <v>135082.75</v>
      </c>
      <c r="R57" s="21">
        <f t="shared" si="56"/>
        <v>7504.5972222222226</v>
      </c>
      <c r="S57" s="13">
        <f>IF(U57&gt;=0.25,+O57*(+$G57+0.05),+O57*$G57)</f>
        <v>15219</v>
      </c>
      <c r="T57" s="14">
        <f t="shared" si="58"/>
        <v>5008.8027777777788</v>
      </c>
      <c r="U57" s="56">
        <f t="shared" si="59"/>
        <v>0.2503650540131882</v>
      </c>
      <c r="V57" s="16">
        <v>47690</v>
      </c>
      <c r="W57" s="15">
        <f t="shared" si="60"/>
        <v>8584.1999999999989</v>
      </c>
      <c r="X57" s="16">
        <v>119039</v>
      </c>
      <c r="Y57" s="22">
        <f t="shared" si="61"/>
        <v>6613.2777777777774</v>
      </c>
      <c r="Z57" s="15">
        <f>IF(AB57&gt;=0.25,+V57*(+$G57+0.05),+V57*$G57)</f>
        <v>21460.5</v>
      </c>
      <c r="AA57" s="16">
        <f t="shared" si="63"/>
        <v>11032.022222222222</v>
      </c>
      <c r="AB57" s="58">
        <f t="shared" si="64"/>
        <v>0.40062500525038014</v>
      </c>
      <c r="AC57" s="162">
        <f t="shared" si="65"/>
        <v>134470</v>
      </c>
      <c r="AD57" s="163">
        <f t="shared" si="66"/>
        <v>24204.6</v>
      </c>
      <c r="AE57" s="163">
        <f t="shared" si="67"/>
        <v>102360.58333333333</v>
      </c>
      <c r="AF57" s="163">
        <f t="shared" si="68"/>
        <v>21689.552777777779</v>
      </c>
      <c r="AG57" s="163">
        <f t="shared" si="69"/>
        <v>60511.5</v>
      </c>
      <c r="AH57" s="163">
        <f t="shared" si="70"/>
        <v>28064.347222222219</v>
      </c>
    </row>
    <row r="58" spans="1:34" ht="16.5" customHeight="1" x14ac:dyDescent="0.25">
      <c r="A58" s="9"/>
      <c r="B58" s="10" t="s">
        <v>297</v>
      </c>
      <c r="C58" s="10" t="s">
        <v>296</v>
      </c>
      <c r="D58" s="31" t="s">
        <v>295</v>
      </c>
      <c r="E58" s="31" t="s">
        <v>132</v>
      </c>
      <c r="F58" s="31">
        <v>2472</v>
      </c>
      <c r="G58" s="126">
        <v>0.4</v>
      </c>
      <c r="H58" s="12">
        <v>0</v>
      </c>
      <c r="I58" s="11">
        <f t="shared" si="50"/>
        <v>0</v>
      </c>
      <c r="J58" s="45">
        <v>4614</v>
      </c>
      <c r="K58" s="20">
        <f t="shared" si="51"/>
        <v>256.33333333333331</v>
      </c>
      <c r="L58" s="11">
        <f>IF(+H58&gt;0,+H58*$G58,0)</f>
        <v>0</v>
      </c>
      <c r="M58" s="37">
        <f t="shared" si="53"/>
        <v>-256.33333333333331</v>
      </c>
      <c r="N58" s="54">
        <f t="shared" si="54"/>
        <v>0</v>
      </c>
      <c r="O58" s="14">
        <v>0</v>
      </c>
      <c r="P58" s="13">
        <f t="shared" si="55"/>
        <v>0</v>
      </c>
      <c r="Q58" s="14">
        <v>4614</v>
      </c>
      <c r="R58" s="21">
        <f t="shared" si="56"/>
        <v>256.33333333333331</v>
      </c>
      <c r="S58" s="13">
        <f>IF(+O58&gt;0,+O58*$G58,0)</f>
        <v>0</v>
      </c>
      <c r="T58" s="14">
        <f t="shared" si="58"/>
        <v>-256.33333333333331</v>
      </c>
      <c r="U58" s="56">
        <f t="shared" si="59"/>
        <v>0</v>
      </c>
      <c r="V58" s="16">
        <v>0</v>
      </c>
      <c r="W58" s="15">
        <f t="shared" si="60"/>
        <v>0</v>
      </c>
      <c r="X58" s="16">
        <v>4351.5</v>
      </c>
      <c r="Y58" s="22">
        <f t="shared" si="61"/>
        <v>241.75</v>
      </c>
      <c r="Z58" s="15">
        <f>IF(+V58&gt;0,+V58*$G58,0)</f>
        <v>0</v>
      </c>
      <c r="AA58" s="16">
        <f t="shared" si="63"/>
        <v>-241.75</v>
      </c>
      <c r="AB58" s="58">
        <f t="shared" si="64"/>
        <v>0</v>
      </c>
      <c r="AC58" s="162">
        <f t="shared" si="65"/>
        <v>0</v>
      </c>
      <c r="AD58" s="163">
        <f t="shared" si="66"/>
        <v>0</v>
      </c>
      <c r="AE58" s="163">
        <f t="shared" si="67"/>
        <v>2988.5</v>
      </c>
      <c r="AF58" s="163">
        <f t="shared" si="68"/>
        <v>754.41666666666663</v>
      </c>
      <c r="AG58" s="163">
        <f t="shared" si="69"/>
        <v>0</v>
      </c>
      <c r="AH58" s="163">
        <f t="shared" si="70"/>
        <v>-754.41666666666663</v>
      </c>
    </row>
    <row r="59" spans="1:34" ht="16.5" customHeight="1" x14ac:dyDescent="0.25">
      <c r="A59" s="9"/>
      <c r="B59" s="10" t="s">
        <v>331</v>
      </c>
      <c r="C59" s="10" t="s">
        <v>332</v>
      </c>
      <c r="D59" s="31" t="s">
        <v>84</v>
      </c>
      <c r="E59" s="31" t="s">
        <v>132</v>
      </c>
      <c r="F59" s="31">
        <v>2512</v>
      </c>
      <c r="G59" s="126">
        <v>0.4</v>
      </c>
      <c r="H59" s="12">
        <v>20000</v>
      </c>
      <c r="I59" s="11">
        <f t="shared" si="50"/>
        <v>3600</v>
      </c>
      <c r="J59" s="45">
        <v>32541</v>
      </c>
      <c r="K59" s="20">
        <f t="shared" si="51"/>
        <v>1807.8333333333333</v>
      </c>
      <c r="L59" s="11">
        <f>IF(N59&gt;=0.25,+H59*(+$G59+0.05),+H59*$G59)</f>
        <v>9000</v>
      </c>
      <c r="M59" s="37">
        <f t="shared" si="53"/>
        <v>5592.1666666666661</v>
      </c>
      <c r="N59" s="54">
        <f t="shared" si="54"/>
        <v>0.61460926216158074</v>
      </c>
      <c r="O59" s="14">
        <v>16150</v>
      </c>
      <c r="P59" s="13">
        <f t="shared" si="55"/>
        <v>2907</v>
      </c>
      <c r="Q59" s="14">
        <v>37457.25</v>
      </c>
      <c r="R59" s="21">
        <f t="shared" si="56"/>
        <v>2080.9583333333335</v>
      </c>
      <c r="S59" s="13">
        <f>IF(U59&gt;=0.25,+O59*(+$G59+0.05),+O59*$G59)</f>
        <v>7267.5</v>
      </c>
      <c r="T59" s="14">
        <f t="shared" si="58"/>
        <v>3894.5416666666661</v>
      </c>
      <c r="U59" s="56">
        <f t="shared" si="59"/>
        <v>0.43115818699984648</v>
      </c>
      <c r="V59" s="16">
        <v>14250</v>
      </c>
      <c r="W59" s="15">
        <f t="shared" si="60"/>
        <v>2565</v>
      </c>
      <c r="X59" s="16">
        <v>44791.25</v>
      </c>
      <c r="Y59" s="22">
        <f t="shared" si="61"/>
        <v>2488.4027777777778</v>
      </c>
      <c r="Z59" s="15">
        <f>IF(AB59&gt;=0.25,+V59*(+$G59+0.05),+V59*$G59)</f>
        <v>6412.5</v>
      </c>
      <c r="AA59" s="16">
        <f t="shared" si="63"/>
        <v>2784.0972222222226</v>
      </c>
      <c r="AB59" s="58">
        <f t="shared" si="64"/>
        <v>0.31814249434878467</v>
      </c>
      <c r="AC59" s="162">
        <f t="shared" si="65"/>
        <v>50400</v>
      </c>
      <c r="AD59" s="163">
        <f t="shared" si="66"/>
        <v>9072</v>
      </c>
      <c r="AE59" s="163">
        <f t="shared" si="67"/>
        <v>34082.833333333336</v>
      </c>
      <c r="AF59" s="163">
        <f t="shared" si="68"/>
        <v>6377.1944444444453</v>
      </c>
      <c r="AG59" s="163">
        <f t="shared" si="69"/>
        <v>22680</v>
      </c>
      <c r="AH59" s="163">
        <f t="shared" si="70"/>
        <v>12270.805555555555</v>
      </c>
    </row>
    <row r="60" spans="1:34" ht="16.5" customHeight="1" x14ac:dyDescent="0.25">
      <c r="A60" s="9"/>
      <c r="B60" s="10" t="s">
        <v>326</v>
      </c>
      <c r="C60" s="10" t="s">
        <v>327</v>
      </c>
      <c r="D60" s="31" t="s">
        <v>84</v>
      </c>
      <c r="E60" s="31" t="s">
        <v>132</v>
      </c>
      <c r="F60" s="31">
        <v>2511</v>
      </c>
      <c r="G60" s="126">
        <v>0.4</v>
      </c>
      <c r="H60" s="12">
        <v>6000</v>
      </c>
      <c r="I60" s="11">
        <f t="shared" si="50"/>
        <v>1080</v>
      </c>
      <c r="J60" s="45">
        <v>12080</v>
      </c>
      <c r="K60" s="20">
        <f t="shared" si="51"/>
        <v>671.11111111111109</v>
      </c>
      <c r="L60" s="11">
        <f>IF(+H60&gt;0,+H60*$G60,0)</f>
        <v>2400</v>
      </c>
      <c r="M60" s="37">
        <f t="shared" si="53"/>
        <v>1848.8888888888887</v>
      </c>
      <c r="N60" s="54">
        <f t="shared" si="54"/>
        <v>0.49668874172185429</v>
      </c>
      <c r="O60" s="14">
        <v>12000</v>
      </c>
      <c r="P60" s="13">
        <f t="shared" si="55"/>
        <v>2160</v>
      </c>
      <c r="Q60" s="14">
        <v>5500</v>
      </c>
      <c r="R60" s="21">
        <f t="shared" si="56"/>
        <v>305.55555555555554</v>
      </c>
      <c r="S60" s="13">
        <f>IF(+O60&gt;0,+O60*$G60,0)</f>
        <v>4800</v>
      </c>
      <c r="T60" s="14">
        <f t="shared" si="58"/>
        <v>4734.4444444444443</v>
      </c>
      <c r="U60" s="56">
        <f t="shared" si="59"/>
        <v>2.1818181818181817</v>
      </c>
      <c r="V60" s="16">
        <v>0</v>
      </c>
      <c r="W60" s="15">
        <f t="shared" si="60"/>
        <v>0</v>
      </c>
      <c r="X60" s="16">
        <v>600</v>
      </c>
      <c r="Y60" s="22">
        <f t="shared" si="61"/>
        <v>33.333333333333336</v>
      </c>
      <c r="Z60" s="15">
        <f>IF(+V60&gt;0,+V60*$G60,0)</f>
        <v>0</v>
      </c>
      <c r="AA60" s="16">
        <f t="shared" si="63"/>
        <v>-33.333333333333336</v>
      </c>
      <c r="AB60" s="58">
        <f t="shared" si="64"/>
        <v>0</v>
      </c>
      <c r="AC60" s="162">
        <f t="shared" si="65"/>
        <v>18000</v>
      </c>
      <c r="AD60" s="163">
        <f t="shared" si="66"/>
        <v>3240</v>
      </c>
      <c r="AE60" s="163">
        <f t="shared" si="67"/>
        <v>4033.3333333333335</v>
      </c>
      <c r="AF60" s="163">
        <f t="shared" si="68"/>
        <v>1010</v>
      </c>
      <c r="AG60" s="163">
        <f t="shared" si="69"/>
        <v>7200</v>
      </c>
      <c r="AH60" s="163">
        <f t="shared" si="70"/>
        <v>6550</v>
      </c>
    </row>
    <row r="61" spans="1:34" ht="16.5" customHeight="1" x14ac:dyDescent="0.25">
      <c r="A61" s="9"/>
      <c r="B61" s="10" t="s">
        <v>336</v>
      </c>
      <c r="C61" s="10" t="s">
        <v>335</v>
      </c>
      <c r="D61" s="31" t="s">
        <v>337</v>
      </c>
      <c r="E61" s="31" t="s">
        <v>132</v>
      </c>
      <c r="F61" s="31">
        <v>2499</v>
      </c>
      <c r="G61" s="126">
        <v>0.35</v>
      </c>
      <c r="H61" s="12">
        <v>0</v>
      </c>
      <c r="I61" s="11">
        <f t="shared" si="50"/>
        <v>0</v>
      </c>
      <c r="J61" s="45">
        <v>14355.4</v>
      </c>
      <c r="K61" s="20">
        <f t="shared" ref="K61" si="71">J61/18</f>
        <v>797.52222222222224</v>
      </c>
      <c r="L61" s="11">
        <f>IF(N61&gt;=0.25,+H61*(+$G61+0.05),+H61*$G61)</f>
        <v>0</v>
      </c>
      <c r="M61" s="37">
        <f t="shared" ref="M61" si="72">H61-(K61+L61+I61)</f>
        <v>-797.52222222222224</v>
      </c>
      <c r="N61" s="54">
        <f t="shared" ref="N61" si="73">IF(H61&gt;0,IF(J61&gt;0,+H61/J61,"n/m"),0)</f>
        <v>0</v>
      </c>
      <c r="O61" s="14">
        <v>0</v>
      </c>
      <c r="P61" s="13">
        <f t="shared" si="55"/>
        <v>0</v>
      </c>
      <c r="Q61" s="14">
        <v>573</v>
      </c>
      <c r="R61" s="21">
        <f t="shared" ref="R61" si="74">Q61/18</f>
        <v>31.833333333333332</v>
      </c>
      <c r="S61" s="13">
        <f>IF(U61&gt;=0.25,+O61*(+$G61+0.05),+O61*$G61)</f>
        <v>0</v>
      </c>
      <c r="T61" s="14">
        <f t="shared" ref="T61" si="75">O61-(R61+S61+P61)</f>
        <v>-31.833333333333332</v>
      </c>
      <c r="U61" s="56">
        <f t="shared" ref="U61" si="76">IF(O61&gt;0,IF(Q61&gt;0,+O61/Q61,"n/m"),0)</f>
        <v>0</v>
      </c>
      <c r="V61" s="16">
        <v>0</v>
      </c>
      <c r="W61" s="15">
        <f t="shared" si="60"/>
        <v>0</v>
      </c>
      <c r="X61" s="16">
        <v>573</v>
      </c>
      <c r="Y61" s="22">
        <f t="shared" ref="Y61" si="77">X61/18</f>
        <v>31.833333333333332</v>
      </c>
      <c r="Z61" s="15">
        <f>IF(AB61&gt;=0.25,+V61*(+$G61+0.05),+V61*$G61)</f>
        <v>0</v>
      </c>
      <c r="AA61" s="16">
        <f t="shared" ref="AA61" si="78">V61-(Y61+Z61+W61)</f>
        <v>-31.833333333333332</v>
      </c>
      <c r="AB61" s="58">
        <f t="shared" ref="AB61" si="79">IF(V61&gt;0,IF(X61&gt;0,+V61/X61,"n/m"),0)</f>
        <v>0</v>
      </c>
      <c r="AC61" s="162">
        <f t="shared" si="65"/>
        <v>0</v>
      </c>
      <c r="AD61" s="163">
        <f t="shared" si="66"/>
        <v>0</v>
      </c>
      <c r="AE61" s="163">
        <f t="shared" si="67"/>
        <v>382</v>
      </c>
      <c r="AF61" s="163">
        <f t="shared" si="68"/>
        <v>861.18888888888898</v>
      </c>
      <c r="AG61" s="163">
        <f t="shared" si="69"/>
        <v>0</v>
      </c>
      <c r="AH61" s="163">
        <f t="shared" si="70"/>
        <v>-861.18888888888898</v>
      </c>
    </row>
    <row r="62" spans="1:34" ht="16.5" customHeight="1" thickBot="1" x14ac:dyDescent="0.3">
      <c r="A62" s="9"/>
      <c r="B62" s="10" t="s">
        <v>386</v>
      </c>
      <c r="C62" s="10" t="s">
        <v>387</v>
      </c>
      <c r="D62" s="31" t="s">
        <v>83</v>
      </c>
      <c r="E62" s="31" t="s">
        <v>132</v>
      </c>
      <c r="F62" s="31">
        <v>2554</v>
      </c>
      <c r="G62" s="126">
        <v>0.4</v>
      </c>
      <c r="H62" s="12">
        <v>0</v>
      </c>
      <c r="I62" s="11">
        <f t="shared" si="50"/>
        <v>0</v>
      </c>
      <c r="J62" s="45">
        <v>0</v>
      </c>
      <c r="K62" s="20">
        <f t="shared" si="51"/>
        <v>0</v>
      </c>
      <c r="L62" s="11">
        <f>IF(+H62&gt;0,+H62*$G62,0)</f>
        <v>0</v>
      </c>
      <c r="M62" s="37">
        <f t="shared" si="53"/>
        <v>0</v>
      </c>
      <c r="N62" s="54">
        <f t="shared" si="54"/>
        <v>0</v>
      </c>
      <c r="O62" s="14">
        <v>10500</v>
      </c>
      <c r="P62" s="13">
        <f t="shared" si="55"/>
        <v>1890</v>
      </c>
      <c r="Q62" s="14">
        <v>22096.25</v>
      </c>
      <c r="R62" s="21">
        <f t="shared" si="56"/>
        <v>1227.5694444444443</v>
      </c>
      <c r="S62" s="13">
        <f>IF(+O62&gt;0,+O62*$G62,0)</f>
        <v>4200</v>
      </c>
      <c r="T62" s="14">
        <f t="shared" si="58"/>
        <v>3182.4305555555557</v>
      </c>
      <c r="U62" s="56">
        <f t="shared" si="59"/>
        <v>0.47519375459636815</v>
      </c>
      <c r="V62" s="16">
        <v>17500</v>
      </c>
      <c r="W62" s="15">
        <f t="shared" si="60"/>
        <v>3150</v>
      </c>
      <c r="X62" s="16">
        <v>42660.5</v>
      </c>
      <c r="Y62" s="22">
        <f t="shared" si="61"/>
        <v>2370.0277777777778</v>
      </c>
      <c r="Z62" s="15">
        <f>IF(+V62&gt;0,+V62*$G62,0)</f>
        <v>7000</v>
      </c>
      <c r="AA62" s="16">
        <f t="shared" si="63"/>
        <v>4979.9722222222226</v>
      </c>
      <c r="AB62" s="58">
        <f t="shared" si="64"/>
        <v>0.41021553896461599</v>
      </c>
      <c r="AC62" s="162">
        <f t="shared" si="65"/>
        <v>28000</v>
      </c>
      <c r="AD62" s="163">
        <f t="shared" si="66"/>
        <v>5040</v>
      </c>
      <c r="AE62" s="163">
        <f t="shared" si="67"/>
        <v>21585.583333333332</v>
      </c>
      <c r="AF62" s="163">
        <f t="shared" si="68"/>
        <v>3597.5972222222222</v>
      </c>
      <c r="AG62" s="163">
        <f t="shared" si="69"/>
        <v>11200</v>
      </c>
      <c r="AH62" s="163">
        <f t="shared" si="70"/>
        <v>8162.4027777777774</v>
      </c>
    </row>
    <row r="63" spans="1:34" ht="16.5" customHeight="1" thickBot="1" x14ac:dyDescent="0.3">
      <c r="A63" s="9"/>
      <c r="B63" s="59" t="s">
        <v>137</v>
      </c>
      <c r="C63" s="61"/>
      <c r="D63" s="33"/>
      <c r="E63" s="33"/>
      <c r="F63" s="33"/>
      <c r="G63" s="46"/>
      <c r="H63" s="80">
        <f>SUM(H45:H62)</f>
        <v>283984</v>
      </c>
      <c r="I63" s="77">
        <f>SUM(I45:I62)</f>
        <v>51117.119999999995</v>
      </c>
      <c r="J63" s="80">
        <f>SUM(J45:J62)</f>
        <v>1379028.2999999998</v>
      </c>
      <c r="K63" s="79">
        <f t="shared" si="51"/>
        <v>76612.68333333332</v>
      </c>
      <c r="L63" s="77">
        <f>SUM(L45:L62)</f>
        <v>120710.3</v>
      </c>
      <c r="M63" s="80">
        <f t="shared" si="53"/>
        <v>35543.896666666667</v>
      </c>
      <c r="N63" s="81">
        <f t="shared" si="54"/>
        <v>0.20593050918534453</v>
      </c>
      <c r="O63" s="95">
        <f>SUM(O45:O62)</f>
        <v>319919</v>
      </c>
      <c r="P63" s="83">
        <f>SUM(P45:P62)</f>
        <v>57585.42</v>
      </c>
      <c r="Q63" s="95">
        <f>SUM(Q45:Q62)</f>
        <v>1272944.75</v>
      </c>
      <c r="R63" s="84">
        <f t="shared" si="56"/>
        <v>70719.152777777781</v>
      </c>
      <c r="S63" s="83">
        <f>SUM(S45:S62)</f>
        <v>133017.29999999999</v>
      </c>
      <c r="T63" s="95">
        <f t="shared" si="58"/>
        <v>58597.127222222218</v>
      </c>
      <c r="U63" s="85">
        <f t="shared" si="59"/>
        <v>0.251321983927425</v>
      </c>
      <c r="V63" s="97">
        <f>SUM(V45:V62)</f>
        <v>342858</v>
      </c>
      <c r="W63" s="87">
        <f>SUM(W45:W62)</f>
        <v>61714.439999999995</v>
      </c>
      <c r="X63" s="97">
        <f>SUM(X45:X62)</f>
        <v>1283185.5</v>
      </c>
      <c r="Y63" s="88">
        <f t="shared" si="61"/>
        <v>71288.083333333328</v>
      </c>
      <c r="Z63" s="87">
        <f>SUM(Z45:Z62)</f>
        <v>143217.85</v>
      </c>
      <c r="AA63" s="97">
        <f t="shared" si="63"/>
        <v>66637.626666666649</v>
      </c>
      <c r="AB63" s="89">
        <f t="shared" si="64"/>
        <v>0.26719285715120689</v>
      </c>
      <c r="AC63" s="164">
        <f>SUM(AC45:AC62)</f>
        <v>946761</v>
      </c>
      <c r="AD63" s="168">
        <f>SUM(AD45:AD62)</f>
        <v>170416.98</v>
      </c>
      <c r="AE63" s="164">
        <f>SUM(AE45:AE62)</f>
        <v>946704.75000000012</v>
      </c>
      <c r="AF63" s="168">
        <f>SUM(AF45:AF62)</f>
        <v>218619.91944444444</v>
      </c>
      <c r="AG63" s="168">
        <f>SUM(AG45:AG62)</f>
        <v>396945.45</v>
      </c>
      <c r="AH63" s="164">
        <f t="shared" ref="AH63" si="80">AC63-(AF63+AG63+AD63)</f>
        <v>160778.65055555559</v>
      </c>
    </row>
    <row r="64" spans="1:34" ht="16.5" customHeight="1" x14ac:dyDescent="0.25">
      <c r="A64" s="9"/>
      <c r="B64" s="61"/>
      <c r="C64" s="61"/>
      <c r="D64" s="33"/>
      <c r="E64" s="33"/>
      <c r="F64" s="33"/>
      <c r="G64" s="46"/>
      <c r="H64" s="76"/>
      <c r="I64" s="77"/>
      <c r="J64" s="78"/>
      <c r="K64" s="79"/>
      <c r="L64" s="99">
        <f>+L63/H63</f>
        <v>0.42506021465998084</v>
      </c>
      <c r="M64" s="76"/>
      <c r="N64" s="81"/>
      <c r="O64" s="82"/>
      <c r="P64" s="83"/>
      <c r="Q64" s="82"/>
      <c r="R64" s="84"/>
      <c r="S64" s="106">
        <f>+S63/O63</f>
        <v>0.41578430790293791</v>
      </c>
      <c r="T64" s="82"/>
      <c r="U64" s="85"/>
      <c r="V64" s="86"/>
      <c r="W64" s="87"/>
      <c r="X64" s="86"/>
      <c r="Y64" s="88"/>
      <c r="Z64" s="107">
        <f>+Z63/V63</f>
        <v>0.41771768487245448</v>
      </c>
      <c r="AA64" s="86"/>
      <c r="AB64" s="89"/>
      <c r="AC64" s="169"/>
      <c r="AD64" s="167"/>
      <c r="AE64" s="167"/>
      <c r="AF64" s="167"/>
      <c r="AG64" s="167"/>
      <c r="AH64" s="167"/>
    </row>
    <row r="65" spans="1:34" ht="16.5" customHeight="1" x14ac:dyDescent="0.25">
      <c r="A65" s="9"/>
      <c r="B65" s="70" t="s">
        <v>200</v>
      </c>
      <c r="C65" s="10" t="s">
        <v>201</v>
      </c>
      <c r="D65" s="31" t="s">
        <v>105</v>
      </c>
      <c r="E65" s="31" t="s">
        <v>132</v>
      </c>
      <c r="F65" s="31">
        <v>2398</v>
      </c>
      <c r="G65" s="126" t="s">
        <v>8</v>
      </c>
      <c r="H65" s="12">
        <v>0</v>
      </c>
      <c r="I65" s="11">
        <f>+H65*$G$183</f>
        <v>0</v>
      </c>
      <c r="J65" s="45">
        <v>12541</v>
      </c>
      <c r="K65" s="20">
        <f>J65/18</f>
        <v>696.72222222222217</v>
      </c>
      <c r="L65" s="11">
        <v>0</v>
      </c>
      <c r="M65" s="37">
        <f>H65-(K65+L65+I65)</f>
        <v>-696.72222222222217</v>
      </c>
      <c r="N65" s="54">
        <f>IF(H65&gt;0,IF(J65&gt;0,+H65/J65,"n/m"),0)</f>
        <v>0</v>
      </c>
      <c r="O65" s="14">
        <v>0</v>
      </c>
      <c r="P65" s="13">
        <f>+O65*$G$183</f>
        <v>0</v>
      </c>
      <c r="Q65" s="14">
        <v>12322</v>
      </c>
      <c r="R65" s="21">
        <f>Q65/18</f>
        <v>684.55555555555554</v>
      </c>
      <c r="S65" s="13">
        <v>0</v>
      </c>
      <c r="T65" s="14">
        <f>O65-(R65+S65+P65)</f>
        <v>-684.55555555555554</v>
      </c>
      <c r="U65" s="56">
        <f>IF(O65&gt;0,IF(Q65&gt;0,+O65/Q65,"n/m"),0)</f>
        <v>0</v>
      </c>
      <c r="V65" s="16">
        <v>1500</v>
      </c>
      <c r="W65" s="15">
        <f>+V65*$G$181</f>
        <v>270</v>
      </c>
      <c r="X65" s="16">
        <v>8583.25</v>
      </c>
      <c r="Y65" s="22">
        <f>X65/18</f>
        <v>476.84722222222223</v>
      </c>
      <c r="Z65" s="15">
        <v>0</v>
      </c>
      <c r="AA65" s="16">
        <f>V65-(Y65+Z65+W65)</f>
        <v>753.15277777777783</v>
      </c>
      <c r="AB65" s="58">
        <f>IF(V65&gt;0,IF(X65&gt;0,+V65/X65,"n/m"),0)</f>
        <v>0.17475897824250722</v>
      </c>
      <c r="AC65" s="162">
        <f t="shared" ref="AC65:AC68" si="81">+H65+O65+V65</f>
        <v>1500</v>
      </c>
      <c r="AD65" s="163">
        <f t="shared" ref="AD65:AD68" si="82">+I65+P65+W65</f>
        <v>270</v>
      </c>
      <c r="AE65" s="163">
        <f t="shared" ref="AE65:AE68" si="83">(+H65+Q65+X65)/3</f>
        <v>6968.416666666667</v>
      </c>
      <c r="AF65" s="163">
        <f t="shared" ref="AF65:AF68" si="84">+K65+R65+Y65</f>
        <v>1858.125</v>
      </c>
      <c r="AG65" s="163">
        <f t="shared" ref="AG65:AG68" si="85">+L65+S65+Z65</f>
        <v>0</v>
      </c>
      <c r="AH65" s="163">
        <f t="shared" ref="AH65:AH68" si="86">+AC65-AD65-AF65-AG65</f>
        <v>-628.125</v>
      </c>
    </row>
    <row r="66" spans="1:34" ht="16.5" customHeight="1" x14ac:dyDescent="0.25">
      <c r="A66" s="9"/>
      <c r="B66" s="70" t="s">
        <v>159</v>
      </c>
      <c r="C66" s="70" t="s">
        <v>160</v>
      </c>
      <c r="D66" s="31" t="s">
        <v>74</v>
      </c>
      <c r="E66" s="31" t="s">
        <v>132</v>
      </c>
      <c r="F66" s="31">
        <v>2341</v>
      </c>
      <c r="G66" s="126" t="s">
        <v>8</v>
      </c>
      <c r="H66" s="12">
        <v>0</v>
      </c>
      <c r="I66" s="11">
        <f>+H66*$G$183</f>
        <v>0</v>
      </c>
      <c r="J66" s="45">
        <v>6273</v>
      </c>
      <c r="K66" s="20">
        <f>J66/18</f>
        <v>348.5</v>
      </c>
      <c r="L66" s="11">
        <v>0</v>
      </c>
      <c r="M66" s="12">
        <f>H66-(K66+L66+I66)</f>
        <v>-348.5</v>
      </c>
      <c r="N66" s="54">
        <f>IF(H66&gt;0,IF(J66&gt;0,+H66/J66,"n/m"),0)</f>
        <v>0</v>
      </c>
      <c r="O66" s="14">
        <v>0</v>
      </c>
      <c r="P66" s="13">
        <f>+O66*$G$183</f>
        <v>0</v>
      </c>
      <c r="Q66" s="14">
        <v>6273</v>
      </c>
      <c r="R66" s="21">
        <f>Q66/18</f>
        <v>348.5</v>
      </c>
      <c r="S66" s="13">
        <v>0</v>
      </c>
      <c r="T66" s="14">
        <f>O66-(R66+S66+P66)</f>
        <v>-348.5</v>
      </c>
      <c r="U66" s="56">
        <f>IF(O66&gt;0,IF(Q66&gt;0,+O66/Q66,"n/m"),0)</f>
        <v>0</v>
      </c>
      <c r="V66" s="16">
        <v>0</v>
      </c>
      <c r="W66" s="15">
        <f>+V66*$G$181</f>
        <v>0</v>
      </c>
      <c r="X66" s="16">
        <v>6273</v>
      </c>
      <c r="Y66" s="22">
        <f>X66/18</f>
        <v>348.5</v>
      </c>
      <c r="Z66" s="15">
        <v>0</v>
      </c>
      <c r="AA66" s="16">
        <f>V66-(Y66+Z66+W66)</f>
        <v>-348.5</v>
      </c>
      <c r="AB66" s="58">
        <f>IF(V66&gt;0,IF(X66&gt;0,+V66/X66,"n/m"),0)</f>
        <v>0</v>
      </c>
      <c r="AC66" s="162">
        <f t="shared" si="81"/>
        <v>0</v>
      </c>
      <c r="AD66" s="163">
        <f t="shared" si="82"/>
        <v>0</v>
      </c>
      <c r="AE66" s="163">
        <f t="shared" si="83"/>
        <v>4182</v>
      </c>
      <c r="AF66" s="163">
        <f t="shared" si="84"/>
        <v>1045.5</v>
      </c>
      <c r="AG66" s="163">
        <f t="shared" si="85"/>
        <v>0</v>
      </c>
      <c r="AH66" s="163">
        <f t="shared" si="86"/>
        <v>-1045.5</v>
      </c>
    </row>
    <row r="67" spans="1:34" ht="16.5" customHeight="1" x14ac:dyDescent="0.25">
      <c r="A67" s="9"/>
      <c r="B67" s="70" t="s">
        <v>111</v>
      </c>
      <c r="C67" s="70" t="s">
        <v>57</v>
      </c>
      <c r="D67" s="31" t="s">
        <v>72</v>
      </c>
      <c r="E67" s="31" t="s">
        <v>135</v>
      </c>
      <c r="F67" s="31" t="s">
        <v>110</v>
      </c>
      <c r="G67" s="127" t="s">
        <v>8</v>
      </c>
      <c r="H67" s="12">
        <v>0</v>
      </c>
      <c r="I67" s="11">
        <f>+H67*$G$183</f>
        <v>0</v>
      </c>
      <c r="J67" s="45">
        <v>14715</v>
      </c>
      <c r="K67" s="20">
        <f>J67/18</f>
        <v>817.5</v>
      </c>
      <c r="L67" s="12">
        <v>0</v>
      </c>
      <c r="M67" s="12">
        <f>H67-(K67+L67+I67)</f>
        <v>-817.5</v>
      </c>
      <c r="N67" s="54">
        <f>IF(H67&gt;0,IF(J67&gt;0,+H67/J67,"n/m"),0)</f>
        <v>0</v>
      </c>
      <c r="O67" s="14">
        <v>0</v>
      </c>
      <c r="P67" s="13">
        <f>+O67*$G$183</f>
        <v>0</v>
      </c>
      <c r="Q67" s="14">
        <v>13014</v>
      </c>
      <c r="R67" s="21">
        <f>Q67/18</f>
        <v>723</v>
      </c>
      <c r="S67" s="14">
        <v>0</v>
      </c>
      <c r="T67" s="14">
        <f>O67-(R67+S67+P67)</f>
        <v>-723</v>
      </c>
      <c r="U67" s="56">
        <f>IF(O67&gt;0,IF(Q67&gt;0,+O67/Q67,"n/m"),0)</f>
        <v>0</v>
      </c>
      <c r="V67" s="16">
        <v>0</v>
      </c>
      <c r="W67" s="15">
        <f>+V67*$G$183</f>
        <v>0</v>
      </c>
      <c r="X67" s="16">
        <v>21682</v>
      </c>
      <c r="Y67" s="22">
        <f>X67/18</f>
        <v>1204.5555555555557</v>
      </c>
      <c r="Z67" s="16">
        <v>0</v>
      </c>
      <c r="AA67" s="16">
        <f>V67-(Y67+Z67+W67)</f>
        <v>-1204.5555555555557</v>
      </c>
      <c r="AB67" s="58">
        <f>IF(V67&gt;0,IF(X67&gt;0,+V67/X67,"n/m"),0)</f>
        <v>0</v>
      </c>
      <c r="AC67" s="162">
        <f t="shared" si="81"/>
        <v>0</v>
      </c>
      <c r="AD67" s="163">
        <f t="shared" si="82"/>
        <v>0</v>
      </c>
      <c r="AE67" s="163">
        <f t="shared" si="83"/>
        <v>11565.333333333334</v>
      </c>
      <c r="AF67" s="163">
        <f t="shared" si="84"/>
        <v>2745.0555555555557</v>
      </c>
      <c r="AG67" s="163">
        <f t="shared" si="85"/>
        <v>0</v>
      </c>
      <c r="AH67" s="163">
        <f t="shared" si="86"/>
        <v>-2745.0555555555557</v>
      </c>
    </row>
    <row r="68" spans="1:34" ht="16.5" customHeight="1" thickBot="1" x14ac:dyDescent="0.3">
      <c r="A68" s="9"/>
      <c r="B68" s="70" t="s">
        <v>234</v>
      </c>
      <c r="C68" s="70" t="s">
        <v>165</v>
      </c>
      <c r="D68" s="31" t="s">
        <v>84</v>
      </c>
      <c r="E68" s="31" t="s">
        <v>135</v>
      </c>
      <c r="F68" s="31">
        <v>2443</v>
      </c>
      <c r="G68" s="127" t="s">
        <v>8</v>
      </c>
      <c r="H68" s="12">
        <v>8100</v>
      </c>
      <c r="I68" s="11">
        <f>+H68*$G$183</f>
        <v>2025</v>
      </c>
      <c r="J68" s="45">
        <v>106205.3</v>
      </c>
      <c r="K68" s="20">
        <f>J68/18</f>
        <v>5900.2944444444447</v>
      </c>
      <c r="L68" s="12">
        <v>0</v>
      </c>
      <c r="M68" s="12">
        <f>H68-(K68+L68+I68)</f>
        <v>174.70555555555529</v>
      </c>
      <c r="N68" s="54">
        <f>IF(H68&gt;0,IF(J68&gt;0,+H68/J68,"n/m"),0)</f>
        <v>7.6267380253151204E-2</v>
      </c>
      <c r="O68" s="14">
        <v>9750</v>
      </c>
      <c r="P68" s="13">
        <f>+O68*$G$183</f>
        <v>2437.5</v>
      </c>
      <c r="Q68" s="14">
        <v>68171.5</v>
      </c>
      <c r="R68" s="21">
        <f>Q68/18</f>
        <v>3787.3055555555557</v>
      </c>
      <c r="S68" s="14">
        <v>0</v>
      </c>
      <c r="T68" s="14">
        <f>O68-(R68+S68+P68)</f>
        <v>3525.1944444444443</v>
      </c>
      <c r="U68" s="56">
        <f>IF(O68&gt;0,IF(Q68&gt;0,+O68/Q68,"n/m"),0)</f>
        <v>0.14302164394211658</v>
      </c>
      <c r="V68" s="16">
        <v>19688</v>
      </c>
      <c r="W68" s="15">
        <f>+V68*$G$183</f>
        <v>4922</v>
      </c>
      <c r="X68" s="16">
        <v>60887.5</v>
      </c>
      <c r="Y68" s="22">
        <f>X68/18</f>
        <v>3382.6388888888887</v>
      </c>
      <c r="Z68" s="16">
        <v>0</v>
      </c>
      <c r="AA68" s="16">
        <f>V68-(Y68+Z68+W68)</f>
        <v>11383.361111111111</v>
      </c>
      <c r="AB68" s="58">
        <f>IF(V68&gt;0,IF(X68&gt;0,+V68/X68,"n/m"),0)</f>
        <v>0.32335044138780539</v>
      </c>
      <c r="AC68" s="162">
        <f t="shared" si="81"/>
        <v>37538</v>
      </c>
      <c r="AD68" s="163">
        <f t="shared" si="82"/>
        <v>9384.5</v>
      </c>
      <c r="AE68" s="163">
        <f t="shared" si="83"/>
        <v>45719.666666666664</v>
      </c>
      <c r="AF68" s="163">
        <f t="shared" si="84"/>
        <v>13070.238888888889</v>
      </c>
      <c r="AG68" s="163">
        <f t="shared" si="85"/>
        <v>0</v>
      </c>
      <c r="AH68" s="163">
        <f t="shared" si="86"/>
        <v>15083.261111111111</v>
      </c>
    </row>
    <row r="69" spans="1:34" ht="16.5" customHeight="1" thickBot="1" x14ac:dyDescent="0.3">
      <c r="A69" s="9"/>
      <c r="B69" s="59" t="s">
        <v>140</v>
      </c>
      <c r="C69" s="74"/>
      <c r="D69" s="75"/>
      <c r="E69" s="33"/>
      <c r="F69" s="75"/>
      <c r="G69" s="128"/>
      <c r="H69" s="80">
        <f>SUM(H65:H68)</f>
        <v>8100</v>
      </c>
      <c r="I69" s="77">
        <f>SUM(I65:I68)</f>
        <v>2025</v>
      </c>
      <c r="J69" s="80">
        <f>SUM(J65:J68)</f>
        <v>139734.29999999999</v>
      </c>
      <c r="K69" s="79">
        <f t="shared" ref="K69" si="87">J69/18</f>
        <v>7763.0166666666664</v>
      </c>
      <c r="L69" s="76">
        <f>SUM(L65:L68)</f>
        <v>0</v>
      </c>
      <c r="M69" s="80">
        <f t="shared" ref="M69" si="88">H69-(K69+L69+I69)</f>
        <v>-1688.0166666666664</v>
      </c>
      <c r="N69" s="81">
        <f t="shared" ref="N69" si="89">IF(H69&gt;0,IF(J69&gt;0,+H69/J69,"n/m"),0)</f>
        <v>5.796715623866152E-2</v>
      </c>
      <c r="O69" s="95">
        <f>SUM(O65:O68)</f>
        <v>9750</v>
      </c>
      <c r="P69" s="83">
        <f>SUM(P65:P68)</f>
        <v>2437.5</v>
      </c>
      <c r="Q69" s="95">
        <f>SUM(Q65:Q68)</f>
        <v>99780.5</v>
      </c>
      <c r="R69" s="84">
        <f>SUM(R65:R68)</f>
        <v>5543.3611111111113</v>
      </c>
      <c r="S69" s="82">
        <f>SUM(S65:S68)</f>
        <v>0</v>
      </c>
      <c r="T69" s="95">
        <f t="shared" ref="T69" si="90">O69-(R69+S69+P69)</f>
        <v>1769.1388888888887</v>
      </c>
      <c r="U69" s="85">
        <f t="shared" ref="U69" si="91">IF(O69&gt;0,IF(Q69&gt;0,+O69/Q69,"n/m"),0)</f>
        <v>9.7714483290823356E-2</v>
      </c>
      <c r="V69" s="97">
        <f>SUM(V65:V68)</f>
        <v>21188</v>
      </c>
      <c r="W69" s="87">
        <f>SUM(W65:W68)</f>
        <v>5192</v>
      </c>
      <c r="X69" s="97">
        <f>SUM(X65:X68)</f>
        <v>97425.75</v>
      </c>
      <c r="Y69" s="88">
        <f>SUM(Y65:Y68)</f>
        <v>5412.5416666666661</v>
      </c>
      <c r="Z69" s="86">
        <f>SUM(Z65:Z68)</f>
        <v>0</v>
      </c>
      <c r="AA69" s="97">
        <f t="shared" ref="AA69" si="92">V69-(Y69+Z69+W69)</f>
        <v>10583.458333333334</v>
      </c>
      <c r="AB69" s="89">
        <f t="shared" ref="AB69" si="93">IF(V69&gt;0,IF(X69&gt;0,+V69/X69,"n/m"),0)</f>
        <v>0.21747843870845232</v>
      </c>
      <c r="AC69" s="164">
        <f>SUM(AC65:AC68)</f>
        <v>39038</v>
      </c>
      <c r="AD69" s="168">
        <f>SUM(AD65:AD68)</f>
        <v>9654.5</v>
      </c>
      <c r="AE69" s="164">
        <f>SUM(AE65:AE68)</f>
        <v>68435.416666666657</v>
      </c>
      <c r="AF69" s="165">
        <f>SUM(AF65:AF68)</f>
        <v>18718.919444444444</v>
      </c>
      <c r="AG69" s="165">
        <f>SUM(AG65:AG68)</f>
        <v>0</v>
      </c>
      <c r="AH69" s="164">
        <f t="shared" ref="AH69" si="94">AC69-(AF69+AG69+AD69)</f>
        <v>10664.580555555556</v>
      </c>
    </row>
    <row r="70" spans="1:34" ht="16.5" customHeight="1" x14ac:dyDescent="0.25">
      <c r="A70" s="9"/>
      <c r="B70" s="59"/>
      <c r="C70" s="74"/>
      <c r="D70" s="75"/>
      <c r="E70" s="33"/>
      <c r="F70" s="75"/>
      <c r="G70" s="128"/>
      <c r="H70" s="77"/>
      <c r="I70" s="77"/>
      <c r="J70" s="76"/>
      <c r="K70" s="79"/>
      <c r="L70" s="81">
        <f>+L69/H69</f>
        <v>0</v>
      </c>
      <c r="M70" s="76"/>
      <c r="N70" s="81"/>
      <c r="O70" s="83"/>
      <c r="P70" s="83"/>
      <c r="Q70" s="82"/>
      <c r="R70" s="84"/>
      <c r="S70" s="85">
        <f>+S69/O69</f>
        <v>0</v>
      </c>
      <c r="T70" s="82"/>
      <c r="U70" s="85"/>
      <c r="V70" s="87"/>
      <c r="W70" s="87"/>
      <c r="X70" s="86"/>
      <c r="Y70" s="88"/>
      <c r="Z70" s="89">
        <f>+Z69/V69</f>
        <v>0</v>
      </c>
      <c r="AA70" s="86"/>
      <c r="AB70" s="89"/>
      <c r="AC70" s="169"/>
      <c r="AD70" s="167"/>
      <c r="AE70" s="167"/>
      <c r="AF70" s="167"/>
      <c r="AG70" s="167"/>
      <c r="AH70" s="167"/>
    </row>
    <row r="71" spans="1:34" ht="16.5" customHeight="1" x14ac:dyDescent="0.25">
      <c r="A71" s="17"/>
      <c r="B71" s="70" t="s">
        <v>19</v>
      </c>
      <c r="C71" s="70" t="s">
        <v>28</v>
      </c>
      <c r="D71" s="31" t="s">
        <v>86</v>
      </c>
      <c r="E71" s="31" t="s">
        <v>121</v>
      </c>
      <c r="F71" s="31">
        <v>2058</v>
      </c>
      <c r="G71" s="126">
        <v>0.35</v>
      </c>
      <c r="H71" s="12">
        <v>0</v>
      </c>
      <c r="I71" s="11">
        <f t="shared" ref="I71:I88" si="95">+H71*$G$181</f>
        <v>0</v>
      </c>
      <c r="J71" s="45">
        <v>210</v>
      </c>
      <c r="K71" s="20">
        <f t="shared" ref="K71:K89" si="96">J71/18</f>
        <v>11.666666666666666</v>
      </c>
      <c r="L71" s="11">
        <f>IF(N71&gt;=0.25,+H71*(+$G71+0.05),+H71*$G71)</f>
        <v>0</v>
      </c>
      <c r="M71" s="37">
        <f t="shared" ref="M71" si="97">H71-(K71+L71+I71)</f>
        <v>-11.666666666666666</v>
      </c>
      <c r="N71" s="54">
        <f t="shared" ref="N71:N89" si="98">IF(H71&gt;0,IF(J71&gt;0,+H71/J71,"n/m"),0)</f>
        <v>0</v>
      </c>
      <c r="O71" s="14">
        <v>0</v>
      </c>
      <c r="P71" s="13">
        <f t="shared" ref="P71:P88" si="99">+O71*$G$181</f>
        <v>0</v>
      </c>
      <c r="Q71" s="14">
        <v>2621.25</v>
      </c>
      <c r="R71" s="21">
        <f t="shared" ref="R71:R88" si="100">Q71/18</f>
        <v>145.625</v>
      </c>
      <c r="S71" s="13">
        <f>IF(U71&gt;=0.25,+O71*(+$G71+0.05),+O71*$G71)</f>
        <v>0</v>
      </c>
      <c r="T71" s="14">
        <f t="shared" ref="T71:T88" si="101">O71-(R71+S71+P71)</f>
        <v>-145.625</v>
      </c>
      <c r="U71" s="56">
        <f t="shared" ref="U71:U89" si="102">IF(O71&gt;0,IF(Q71&gt;0,+O71/Q71,"n/m"),0)</f>
        <v>0</v>
      </c>
      <c r="V71" s="16">
        <v>0</v>
      </c>
      <c r="W71" s="15">
        <f t="shared" ref="W71:W88" si="103">+V71*$G$181</f>
        <v>0</v>
      </c>
      <c r="X71" s="16">
        <v>218.75</v>
      </c>
      <c r="Y71" s="22">
        <f t="shared" ref="Y71:Y88" si="104">X71/18</f>
        <v>12.152777777777779</v>
      </c>
      <c r="Z71" s="15">
        <f>IF(AB71&gt;=0.25,+V71*(+$G71+0.05),+V71*$G71)</f>
        <v>0</v>
      </c>
      <c r="AA71" s="16">
        <f t="shared" ref="AA71:AA88" si="105">V71-(Y71+Z71+W71)</f>
        <v>-12.152777777777779</v>
      </c>
      <c r="AB71" s="58">
        <f t="shared" ref="AB71:AB89" si="106">IF(V71&gt;0,IF(X71&gt;0,+V71/X71,"n/m"),0)</f>
        <v>0</v>
      </c>
      <c r="AC71" s="162">
        <f t="shared" ref="AC71:AC88" si="107">+H71+O71+V71</f>
        <v>0</v>
      </c>
      <c r="AD71" s="163">
        <f t="shared" ref="AD71:AD88" si="108">+I71+P71+W71</f>
        <v>0</v>
      </c>
      <c r="AE71" s="163">
        <f t="shared" ref="AE71:AE88" si="109">(+H71+Q71+X71)/3</f>
        <v>946.66666666666663</v>
      </c>
      <c r="AF71" s="163">
        <f t="shared" ref="AF71:AF88" si="110">+K71+R71+Y71</f>
        <v>169.44444444444443</v>
      </c>
      <c r="AG71" s="163">
        <f t="shared" ref="AG71:AG88" si="111">+L71+S71+Z71</f>
        <v>0</v>
      </c>
      <c r="AH71" s="163">
        <f t="shared" ref="AH71:AH88" si="112">+AC71-AD71-AF71-AG71</f>
        <v>-169.44444444444443</v>
      </c>
    </row>
    <row r="72" spans="1:34" ht="16.5" customHeight="1" x14ac:dyDescent="0.25">
      <c r="A72" s="9"/>
      <c r="B72" s="69" t="s">
        <v>16</v>
      </c>
      <c r="C72" s="69" t="s">
        <v>26</v>
      </c>
      <c r="D72" s="32" t="s">
        <v>76</v>
      </c>
      <c r="E72" s="31" t="s">
        <v>121</v>
      </c>
      <c r="F72" s="32">
        <v>2213</v>
      </c>
      <c r="G72" s="129">
        <v>0.3</v>
      </c>
      <c r="H72" s="12">
        <v>5524</v>
      </c>
      <c r="I72" s="11">
        <f t="shared" si="95"/>
        <v>994.31999999999994</v>
      </c>
      <c r="J72" s="45">
        <v>54952.6</v>
      </c>
      <c r="K72" s="20">
        <f>J72/18</f>
        <v>3052.922222222222</v>
      </c>
      <c r="L72" s="11">
        <f>IF(N72&gt;=0.25,+H72*(+$G72+0.05),+H72*$G72)</f>
        <v>1657.2</v>
      </c>
      <c r="M72" s="12">
        <f>H72-(K72+L72+I72)</f>
        <v>-180.44222222222197</v>
      </c>
      <c r="N72" s="54">
        <f>IF(H72&gt;0,IF(J72&gt;0,+H72/J72,"n/m"),0)</f>
        <v>0.10052299618216427</v>
      </c>
      <c r="O72" s="14">
        <v>18211</v>
      </c>
      <c r="P72" s="35">
        <f t="shared" si="99"/>
        <v>3277.98</v>
      </c>
      <c r="Q72" s="14">
        <v>58130.5</v>
      </c>
      <c r="R72" s="21">
        <f>Q72/18</f>
        <v>3229.4722222222222</v>
      </c>
      <c r="S72" s="13">
        <f>IF(U72&gt;=0.25,+O72*(+$G72+0.05),+O72*$G72)</f>
        <v>6373.8499999999995</v>
      </c>
      <c r="T72" s="34">
        <f>O72-(R72+S72+P72)</f>
        <v>5329.6977777777793</v>
      </c>
      <c r="U72" s="56">
        <f>IF(O72&gt;0,IF(Q72&gt;0,+O72/Q72,"n/m"),0)</f>
        <v>0.31327788338307772</v>
      </c>
      <c r="V72" s="16">
        <v>17205</v>
      </c>
      <c r="W72" s="15">
        <f t="shared" si="103"/>
        <v>3096.9</v>
      </c>
      <c r="X72" s="16">
        <v>61456.5</v>
      </c>
      <c r="Y72" s="22">
        <f>X72/18</f>
        <v>3414.25</v>
      </c>
      <c r="Z72" s="15">
        <f>IF(AB72&gt;=0.25,+V72*(+$G72+0.05),+V72*$G72)</f>
        <v>6021.75</v>
      </c>
      <c r="AA72" s="16">
        <f>V72-(Y72+Z72+W72)</f>
        <v>4672.1000000000004</v>
      </c>
      <c r="AB72" s="58">
        <f>IF(V72&gt;0,IF(X72&gt;0,+V72/X72,"n/m"),0)</f>
        <v>0.27995411388543118</v>
      </c>
      <c r="AC72" s="162">
        <f t="shared" si="107"/>
        <v>40940</v>
      </c>
      <c r="AD72" s="163">
        <f t="shared" si="108"/>
        <v>7369.2000000000007</v>
      </c>
      <c r="AE72" s="163">
        <f t="shared" si="109"/>
        <v>41703.666666666664</v>
      </c>
      <c r="AF72" s="163">
        <f t="shared" si="110"/>
        <v>9696.6444444444442</v>
      </c>
      <c r="AG72" s="163">
        <f t="shared" si="111"/>
        <v>14052.8</v>
      </c>
      <c r="AH72" s="163">
        <f t="shared" si="112"/>
        <v>9821.3555555555613</v>
      </c>
    </row>
    <row r="73" spans="1:34" ht="16.5" customHeight="1" x14ac:dyDescent="0.25">
      <c r="A73" s="17"/>
      <c r="B73" s="69" t="s">
        <v>118</v>
      </c>
      <c r="C73" s="69" t="s">
        <v>119</v>
      </c>
      <c r="D73" s="32" t="s">
        <v>86</v>
      </c>
      <c r="E73" s="31" t="s">
        <v>121</v>
      </c>
      <c r="F73" s="32">
        <v>2998</v>
      </c>
      <c r="G73" s="127">
        <v>0.35</v>
      </c>
      <c r="H73" s="12">
        <v>32637.51</v>
      </c>
      <c r="I73" s="11">
        <f t="shared" si="95"/>
        <v>5874.7517999999991</v>
      </c>
      <c r="J73" s="45">
        <v>259186.4</v>
      </c>
      <c r="K73" s="20">
        <f t="shared" ref="K73:K84" si="113">J73/18</f>
        <v>14399.244444444445</v>
      </c>
      <c r="L73" s="11">
        <f>IF(N73&gt;=0.25,+H73*(+$G73+0.05),+H73*$G73)</f>
        <v>11423.128499999999</v>
      </c>
      <c r="M73" s="37">
        <f t="shared" ref="M73:M88" si="114">H73-(K73+L73+I73)</f>
        <v>940.3852555555568</v>
      </c>
      <c r="N73" s="54">
        <f t="shared" ref="N73:N87" si="115">IF(H73&gt;0,IF(J73&gt;0,+H73/J73,"n/m"),0)</f>
        <v>0.12592292651157622</v>
      </c>
      <c r="O73" s="14">
        <v>50393.849999999991</v>
      </c>
      <c r="P73" s="13">
        <f t="shared" si="99"/>
        <v>9070.8929999999982</v>
      </c>
      <c r="Q73" s="14">
        <v>246386.5</v>
      </c>
      <c r="R73" s="21">
        <f t="shared" ref="R73:R87" si="116">Q73/18</f>
        <v>13688.138888888889</v>
      </c>
      <c r="S73" s="13">
        <f>IF(U73&gt;=0.25,+O73*(+$G73+0.05),+O73*$G73)</f>
        <v>17637.847499999996</v>
      </c>
      <c r="T73" s="14">
        <f t="shared" ref="T73:T87" si="117">O73-(R73+S73+P73)</f>
        <v>9996.9706111111082</v>
      </c>
      <c r="U73" s="56">
        <f t="shared" ref="U73:U87" si="118">IF(O73&gt;0,IF(Q73&gt;0,+O73/Q73,"n/m"),0)</f>
        <v>0.20453170120927888</v>
      </c>
      <c r="V73" s="16">
        <v>49170.6</v>
      </c>
      <c r="W73" s="15">
        <f t="shared" si="103"/>
        <v>8850.7079999999987</v>
      </c>
      <c r="X73" s="16">
        <v>254370.5</v>
      </c>
      <c r="Y73" s="22">
        <f t="shared" ref="Y73:Y87" si="119">X73/18</f>
        <v>14131.694444444445</v>
      </c>
      <c r="Z73" s="15">
        <f>IF(AB73&gt;=0.25,+V73*(+$G73+0.05),+V73*$G73)</f>
        <v>17209.71</v>
      </c>
      <c r="AA73" s="16">
        <f t="shared" ref="AA73:AA87" si="120">V73-(Y73+Z73+W73)</f>
        <v>8978.4875555555554</v>
      </c>
      <c r="AB73" s="58">
        <f t="shared" ref="AB73:AB87" si="121">IF(V73&gt;0,IF(X73&gt;0,+V73/X73,"n/m"),0)</f>
        <v>0.19330307563180479</v>
      </c>
      <c r="AC73" s="162">
        <f t="shared" si="107"/>
        <v>132201.96</v>
      </c>
      <c r="AD73" s="163">
        <f t="shared" si="108"/>
        <v>23796.352799999997</v>
      </c>
      <c r="AE73" s="163">
        <f t="shared" si="109"/>
        <v>177798.17</v>
      </c>
      <c r="AF73" s="163">
        <f t="shared" si="110"/>
        <v>42219.077777777777</v>
      </c>
      <c r="AG73" s="163">
        <f t="shared" si="111"/>
        <v>46270.685999999994</v>
      </c>
      <c r="AH73" s="163">
        <f t="shared" si="112"/>
        <v>19915.843422222235</v>
      </c>
    </row>
    <row r="74" spans="1:34" ht="16.5" customHeight="1" x14ac:dyDescent="0.25">
      <c r="A74" s="17"/>
      <c r="B74" s="69" t="s">
        <v>11</v>
      </c>
      <c r="C74" s="69" t="s">
        <v>174</v>
      </c>
      <c r="D74" s="32" t="s">
        <v>86</v>
      </c>
      <c r="E74" s="31" t="s">
        <v>121</v>
      </c>
      <c r="F74" s="32">
        <v>2038</v>
      </c>
      <c r="G74" s="127">
        <v>0.35</v>
      </c>
      <c r="H74" s="12">
        <v>0</v>
      </c>
      <c r="I74" s="11">
        <f t="shared" si="95"/>
        <v>0</v>
      </c>
      <c r="J74" s="45">
        <v>136775.6</v>
      </c>
      <c r="K74" s="20">
        <f t="shared" si="113"/>
        <v>7598.6444444444451</v>
      </c>
      <c r="L74" s="11">
        <f>IF(+H74&gt;=20000,0.4*H74,0.35*H74)</f>
        <v>0</v>
      </c>
      <c r="M74" s="37">
        <f t="shared" si="114"/>
        <v>-7598.6444444444451</v>
      </c>
      <c r="N74" s="54">
        <f t="shared" si="115"/>
        <v>0</v>
      </c>
      <c r="O74" s="14">
        <v>0</v>
      </c>
      <c r="P74" s="13">
        <f t="shared" si="99"/>
        <v>0</v>
      </c>
      <c r="Q74" s="14">
        <v>101334.75</v>
      </c>
      <c r="R74" s="21">
        <f t="shared" si="116"/>
        <v>5629.708333333333</v>
      </c>
      <c r="S74" s="13">
        <f>IF(+O74&gt;=20000,0.4*O74,0.35*O74)</f>
        <v>0</v>
      </c>
      <c r="T74" s="14">
        <f t="shared" si="117"/>
        <v>-5629.708333333333</v>
      </c>
      <c r="U74" s="56">
        <f t="shared" si="118"/>
        <v>0</v>
      </c>
      <c r="V74" s="16">
        <v>0</v>
      </c>
      <c r="W74" s="15">
        <f t="shared" si="103"/>
        <v>0</v>
      </c>
      <c r="X74" s="16">
        <v>99155</v>
      </c>
      <c r="Y74" s="22">
        <f t="shared" si="119"/>
        <v>5508.6111111111113</v>
      </c>
      <c r="Z74" s="15">
        <f>IF(+V74&gt;=20000,0.4*V74,0.35*V74)</f>
        <v>0</v>
      </c>
      <c r="AA74" s="16">
        <f t="shared" si="120"/>
        <v>-5508.6111111111113</v>
      </c>
      <c r="AB74" s="58">
        <f t="shared" si="121"/>
        <v>0</v>
      </c>
      <c r="AC74" s="162">
        <f t="shared" si="107"/>
        <v>0</v>
      </c>
      <c r="AD74" s="163">
        <f t="shared" si="108"/>
        <v>0</v>
      </c>
      <c r="AE74" s="163">
        <f t="shared" si="109"/>
        <v>66829.916666666672</v>
      </c>
      <c r="AF74" s="163">
        <f t="shared" si="110"/>
        <v>18736.963888888888</v>
      </c>
      <c r="AG74" s="163">
        <f t="shared" si="111"/>
        <v>0</v>
      </c>
      <c r="AH74" s="163">
        <f t="shared" si="112"/>
        <v>-18736.963888888888</v>
      </c>
    </row>
    <row r="75" spans="1:34" ht="16.5" customHeight="1" x14ac:dyDescent="0.25">
      <c r="A75" s="17"/>
      <c r="B75" s="69" t="s">
        <v>177</v>
      </c>
      <c r="C75" s="69" t="s">
        <v>178</v>
      </c>
      <c r="D75" s="32" t="s">
        <v>179</v>
      </c>
      <c r="E75" s="31" t="s">
        <v>121</v>
      </c>
      <c r="F75" s="32">
        <v>2362</v>
      </c>
      <c r="G75" s="127">
        <v>0.4</v>
      </c>
      <c r="H75" s="12">
        <v>18735</v>
      </c>
      <c r="I75" s="11">
        <f t="shared" si="95"/>
        <v>3372.2999999999997</v>
      </c>
      <c r="J75" s="45">
        <v>197882.3</v>
      </c>
      <c r="K75" s="20">
        <f t="shared" si="113"/>
        <v>10993.46111111111</v>
      </c>
      <c r="L75" s="11">
        <f>IF(+H75&gt;0,+H75*$G75,0)</f>
        <v>7494</v>
      </c>
      <c r="M75" s="37">
        <f t="shared" si="114"/>
        <v>-3124.7611111111073</v>
      </c>
      <c r="N75" s="54">
        <f t="shared" si="115"/>
        <v>9.4677492630720395E-2</v>
      </c>
      <c r="O75" s="14">
        <v>35691</v>
      </c>
      <c r="P75" s="13">
        <f t="shared" si="99"/>
        <v>6424.38</v>
      </c>
      <c r="Q75" s="14">
        <v>196499.75</v>
      </c>
      <c r="R75" s="21">
        <f t="shared" si="116"/>
        <v>10916.652777777777</v>
      </c>
      <c r="S75" s="13">
        <f>IF(+O75&gt;0,+O75*$G75,0)</f>
        <v>14276.400000000001</v>
      </c>
      <c r="T75" s="14">
        <f t="shared" si="117"/>
        <v>4073.5672222222202</v>
      </c>
      <c r="U75" s="56">
        <f t="shared" si="118"/>
        <v>0.1816338188725431</v>
      </c>
      <c r="V75" s="16">
        <f>18995+775</f>
        <v>19770</v>
      </c>
      <c r="W75" s="15">
        <f t="shared" si="103"/>
        <v>3558.6</v>
      </c>
      <c r="X75" s="16">
        <v>233304.5</v>
      </c>
      <c r="Y75" s="22">
        <f t="shared" si="119"/>
        <v>12961.361111111111</v>
      </c>
      <c r="Z75" s="15">
        <f>IF(+V75&gt;0,+V75*$G75,0)</f>
        <v>7908</v>
      </c>
      <c r="AA75" s="16">
        <f t="shared" si="120"/>
        <v>-4657.961111111108</v>
      </c>
      <c r="AB75" s="58">
        <f t="shared" si="121"/>
        <v>8.4739042753140204E-2</v>
      </c>
      <c r="AC75" s="162">
        <f t="shared" si="107"/>
        <v>74196</v>
      </c>
      <c r="AD75" s="163">
        <f t="shared" si="108"/>
        <v>13355.28</v>
      </c>
      <c r="AE75" s="163">
        <f t="shared" si="109"/>
        <v>149513.08333333334</v>
      </c>
      <c r="AF75" s="163">
        <f t="shared" si="110"/>
        <v>34871.474999999999</v>
      </c>
      <c r="AG75" s="163">
        <f t="shared" si="111"/>
        <v>29678.400000000001</v>
      </c>
      <c r="AH75" s="163">
        <f t="shared" si="112"/>
        <v>-3709.1549999999988</v>
      </c>
    </row>
    <row r="76" spans="1:34" ht="16.5" customHeight="1" x14ac:dyDescent="0.25">
      <c r="A76" s="17"/>
      <c r="B76" s="69" t="s">
        <v>193</v>
      </c>
      <c r="C76" s="69" t="s">
        <v>194</v>
      </c>
      <c r="D76" s="32" t="s">
        <v>86</v>
      </c>
      <c r="E76" s="31" t="s">
        <v>121</v>
      </c>
      <c r="F76" s="32">
        <v>2400</v>
      </c>
      <c r="G76" s="127">
        <v>0.4</v>
      </c>
      <c r="H76" s="12">
        <v>7107.25</v>
      </c>
      <c r="I76" s="11">
        <f t="shared" si="95"/>
        <v>1279.3050000000001</v>
      </c>
      <c r="J76" s="45">
        <v>76480.800000000003</v>
      </c>
      <c r="K76" s="20">
        <f t="shared" si="113"/>
        <v>4248.9333333333334</v>
      </c>
      <c r="L76" s="11">
        <f>IF(N76&gt;=0.25,+H76*(+$G76+0.05),+H76*$G76)</f>
        <v>2842.9</v>
      </c>
      <c r="M76" s="37">
        <f t="shared" si="114"/>
        <v>-1263.8883333333342</v>
      </c>
      <c r="N76" s="54">
        <f t="shared" si="115"/>
        <v>9.2928552002594117E-2</v>
      </c>
      <c r="O76" s="14">
        <v>15450</v>
      </c>
      <c r="P76" s="13">
        <f t="shared" si="99"/>
        <v>2781</v>
      </c>
      <c r="Q76" s="14">
        <v>59249.75</v>
      </c>
      <c r="R76" s="21">
        <f t="shared" si="116"/>
        <v>3291.6527777777778</v>
      </c>
      <c r="S76" s="13">
        <f>IF(U76&gt;=0.25,+O76*(+$G76+0.05),+O76*$G76)</f>
        <v>6952.5</v>
      </c>
      <c r="T76" s="14">
        <f t="shared" si="117"/>
        <v>2424.8472222222226</v>
      </c>
      <c r="U76" s="56">
        <f t="shared" si="118"/>
        <v>0.26076059392655665</v>
      </c>
      <c r="V76" s="16">
        <v>12510</v>
      </c>
      <c r="W76" s="15">
        <f t="shared" si="103"/>
        <v>2251.7999999999997</v>
      </c>
      <c r="X76" s="16">
        <v>81494.75</v>
      </c>
      <c r="Y76" s="22">
        <f t="shared" si="119"/>
        <v>4527.4861111111113</v>
      </c>
      <c r="Z76" s="15">
        <f>IF(AB76&gt;=0.25,+V76*(+$G76+0.05),+V76*$G76)</f>
        <v>5004</v>
      </c>
      <c r="AA76" s="16">
        <f t="shared" si="120"/>
        <v>726.71388888888941</v>
      </c>
      <c r="AB76" s="58">
        <f t="shared" si="121"/>
        <v>0.15350682099153626</v>
      </c>
      <c r="AC76" s="162">
        <f t="shared" si="107"/>
        <v>35067.25</v>
      </c>
      <c r="AD76" s="163">
        <f t="shared" si="108"/>
        <v>6312.1049999999996</v>
      </c>
      <c r="AE76" s="163">
        <f t="shared" si="109"/>
        <v>49283.916666666664</v>
      </c>
      <c r="AF76" s="163">
        <f t="shared" si="110"/>
        <v>12068.072222222223</v>
      </c>
      <c r="AG76" s="163">
        <f t="shared" si="111"/>
        <v>14799.4</v>
      </c>
      <c r="AH76" s="163">
        <f t="shared" si="112"/>
        <v>1887.6727777777796</v>
      </c>
    </row>
    <row r="77" spans="1:34" ht="16.5" customHeight="1" x14ac:dyDescent="0.25">
      <c r="A77" s="17"/>
      <c r="B77" s="69" t="s">
        <v>226</v>
      </c>
      <c r="C77" s="69" t="s">
        <v>227</v>
      </c>
      <c r="D77" s="32" t="s">
        <v>86</v>
      </c>
      <c r="E77" s="31" t="s">
        <v>121</v>
      </c>
      <c r="F77" s="32">
        <v>2437</v>
      </c>
      <c r="G77" s="127">
        <v>0.4</v>
      </c>
      <c r="H77" s="12">
        <v>38589.31</v>
      </c>
      <c r="I77" s="11">
        <f t="shared" si="95"/>
        <v>6946.0757999999996</v>
      </c>
      <c r="J77" s="45">
        <v>189635</v>
      </c>
      <c r="K77" s="20">
        <f t="shared" si="113"/>
        <v>10535.277777777777</v>
      </c>
      <c r="L77" s="11">
        <f t="shared" ref="L77:L78" si="122">IF(N77&gt;=0.25,+H77*(+$G77+0.05),+H77*$G77)</f>
        <v>15435.724</v>
      </c>
      <c r="M77" s="37">
        <f t="shared" si="114"/>
        <v>5672.2324222222232</v>
      </c>
      <c r="N77" s="54">
        <f t="shared" si="115"/>
        <v>0.20349255148047563</v>
      </c>
      <c r="O77" s="14">
        <v>76968.67</v>
      </c>
      <c r="P77" s="13">
        <f t="shared" si="99"/>
        <v>13854.3606</v>
      </c>
      <c r="Q77" s="14">
        <v>344654.25</v>
      </c>
      <c r="R77" s="21">
        <f t="shared" si="116"/>
        <v>19147.458333333332</v>
      </c>
      <c r="S77" s="13">
        <f t="shared" ref="S77:S78" si="123">IF(U77&gt;=0.25,+O77*(+$G77+0.05),+O77*$G77)</f>
        <v>30787.468000000001</v>
      </c>
      <c r="T77" s="14">
        <f t="shared" si="117"/>
        <v>13179.383066666662</v>
      </c>
      <c r="U77" s="56">
        <f t="shared" si="118"/>
        <v>0.22332140108529056</v>
      </c>
      <c r="V77" s="16">
        <v>37982.620000000003</v>
      </c>
      <c r="W77" s="15">
        <f t="shared" si="103"/>
        <v>6836.8716000000004</v>
      </c>
      <c r="X77" s="16">
        <v>265060</v>
      </c>
      <c r="Y77" s="22">
        <f t="shared" si="119"/>
        <v>14725.555555555555</v>
      </c>
      <c r="Z77" s="15">
        <f t="shared" ref="Z77:Z78" si="124">IF(AB77&gt;=0.25,+V77*(+$G77+0.05),+V77*$G77)</f>
        <v>15193.048000000003</v>
      </c>
      <c r="AA77" s="16">
        <f t="shared" si="120"/>
        <v>1227.1448444444468</v>
      </c>
      <c r="AB77" s="58">
        <f t="shared" si="121"/>
        <v>0.14329819663472423</v>
      </c>
      <c r="AC77" s="162">
        <f t="shared" si="107"/>
        <v>153540.6</v>
      </c>
      <c r="AD77" s="163">
        <f t="shared" si="108"/>
        <v>27637.307999999997</v>
      </c>
      <c r="AE77" s="163">
        <f t="shared" si="109"/>
        <v>216101.18666666668</v>
      </c>
      <c r="AF77" s="163">
        <f t="shared" si="110"/>
        <v>44408.291666666664</v>
      </c>
      <c r="AG77" s="163">
        <f t="shared" si="111"/>
        <v>61416.240000000005</v>
      </c>
      <c r="AH77" s="163">
        <f t="shared" si="112"/>
        <v>20078.760333333354</v>
      </c>
    </row>
    <row r="78" spans="1:34" ht="16.5" customHeight="1" x14ac:dyDescent="0.25">
      <c r="A78" s="17"/>
      <c r="B78" s="69" t="s">
        <v>243</v>
      </c>
      <c r="C78" s="69" t="s">
        <v>244</v>
      </c>
      <c r="D78" s="32" t="s">
        <v>86</v>
      </c>
      <c r="E78" s="31" t="s">
        <v>121</v>
      </c>
      <c r="F78" s="32">
        <v>2441</v>
      </c>
      <c r="G78" s="127">
        <v>0.4</v>
      </c>
      <c r="H78" s="12">
        <v>17561.88</v>
      </c>
      <c r="I78" s="11">
        <f t="shared" si="95"/>
        <v>3161.1384000000003</v>
      </c>
      <c r="J78" s="45">
        <v>79609.399999999994</v>
      </c>
      <c r="K78" s="20">
        <f t="shared" si="113"/>
        <v>4422.7444444444445</v>
      </c>
      <c r="L78" s="11">
        <f t="shared" si="122"/>
        <v>7024.7520000000004</v>
      </c>
      <c r="M78" s="37">
        <f t="shared" si="114"/>
        <v>2953.2451555555563</v>
      </c>
      <c r="N78" s="54">
        <f t="shared" si="115"/>
        <v>0.22060058234329114</v>
      </c>
      <c r="O78" s="14">
        <v>1300</v>
      </c>
      <c r="P78" s="13">
        <f t="shared" si="99"/>
        <v>234</v>
      </c>
      <c r="Q78" s="14">
        <v>71889.25</v>
      </c>
      <c r="R78" s="21">
        <f t="shared" si="116"/>
        <v>3993.8472222222222</v>
      </c>
      <c r="S78" s="13">
        <f t="shared" si="123"/>
        <v>520</v>
      </c>
      <c r="T78" s="14">
        <f t="shared" si="117"/>
        <v>-3447.8472222222226</v>
      </c>
      <c r="U78" s="56">
        <f t="shared" si="118"/>
        <v>1.8083371296821152E-2</v>
      </c>
      <c r="V78" s="16">
        <v>5589.09</v>
      </c>
      <c r="W78" s="15">
        <f t="shared" si="103"/>
        <v>1006.0362</v>
      </c>
      <c r="X78" s="16">
        <v>66810.25</v>
      </c>
      <c r="Y78" s="22">
        <f t="shared" si="119"/>
        <v>3711.6805555555557</v>
      </c>
      <c r="Z78" s="15">
        <f t="shared" si="124"/>
        <v>2235.636</v>
      </c>
      <c r="AA78" s="16">
        <f t="shared" si="120"/>
        <v>-1364.2627555555555</v>
      </c>
      <c r="AB78" s="58">
        <f t="shared" si="121"/>
        <v>8.3656175511991046E-2</v>
      </c>
      <c r="AC78" s="162">
        <f t="shared" si="107"/>
        <v>24450.97</v>
      </c>
      <c r="AD78" s="163">
        <f t="shared" si="108"/>
        <v>4401.1746000000003</v>
      </c>
      <c r="AE78" s="163">
        <f t="shared" si="109"/>
        <v>52087.126666666671</v>
      </c>
      <c r="AF78" s="163">
        <f t="shared" si="110"/>
        <v>12128.272222222222</v>
      </c>
      <c r="AG78" s="163">
        <f t="shared" si="111"/>
        <v>9780.3880000000008</v>
      </c>
      <c r="AH78" s="163">
        <f t="shared" si="112"/>
        <v>-1858.86482222222</v>
      </c>
    </row>
    <row r="79" spans="1:34" ht="16.5" customHeight="1" x14ac:dyDescent="0.25">
      <c r="A79" s="17"/>
      <c r="B79" s="69" t="s">
        <v>263</v>
      </c>
      <c r="C79" s="69" t="s">
        <v>247</v>
      </c>
      <c r="D79" s="32" t="s">
        <v>179</v>
      </c>
      <c r="E79" s="31" t="s">
        <v>121</v>
      </c>
      <c r="F79" s="32">
        <v>2274</v>
      </c>
      <c r="G79" s="127">
        <v>0.35</v>
      </c>
      <c r="H79" s="12">
        <v>3610</v>
      </c>
      <c r="I79" s="11">
        <f t="shared" si="95"/>
        <v>649.79999999999995</v>
      </c>
      <c r="J79" s="45">
        <v>31954</v>
      </c>
      <c r="K79" s="20">
        <f t="shared" si="113"/>
        <v>1775.2222222222222</v>
      </c>
      <c r="L79" s="11">
        <f>IF(H79&gt;=29999,+H79*0.4,+H79*0.35)</f>
        <v>1263.5</v>
      </c>
      <c r="M79" s="37">
        <f t="shared" si="114"/>
        <v>-78.522222222221899</v>
      </c>
      <c r="N79" s="54">
        <f t="shared" si="115"/>
        <v>0.11297490142079239</v>
      </c>
      <c r="O79" s="14">
        <v>6824.59</v>
      </c>
      <c r="P79" s="13">
        <f t="shared" si="99"/>
        <v>1228.4261999999999</v>
      </c>
      <c r="Q79" s="14">
        <v>49779.5</v>
      </c>
      <c r="R79" s="21">
        <f t="shared" si="116"/>
        <v>2765.5277777777778</v>
      </c>
      <c r="S79" s="13">
        <f>IF(O79&gt;=29999,+O79*0.4,+O79*0.35)</f>
        <v>2388.6064999999999</v>
      </c>
      <c r="T79" s="14">
        <f t="shared" si="117"/>
        <v>442.02952222222302</v>
      </c>
      <c r="U79" s="56">
        <f t="shared" si="118"/>
        <v>0.1370963951024016</v>
      </c>
      <c r="V79" s="16">
        <v>17134.59</v>
      </c>
      <c r="W79" s="15">
        <f t="shared" si="103"/>
        <v>3084.2262000000001</v>
      </c>
      <c r="X79" s="16">
        <v>45065</v>
      </c>
      <c r="Y79" s="22">
        <f t="shared" si="119"/>
        <v>2503.6111111111113</v>
      </c>
      <c r="Z79" s="15">
        <f>IF(V79&gt;=29999,+V79*0.4,+V79*0.35)</f>
        <v>5997.1064999999999</v>
      </c>
      <c r="AA79" s="16">
        <f t="shared" si="120"/>
        <v>5549.646188888888</v>
      </c>
      <c r="AB79" s="58">
        <f t="shared" si="121"/>
        <v>0.38021946077887497</v>
      </c>
      <c r="AC79" s="162">
        <f t="shared" si="107"/>
        <v>27569.18</v>
      </c>
      <c r="AD79" s="163">
        <f t="shared" si="108"/>
        <v>4962.4524000000001</v>
      </c>
      <c r="AE79" s="163">
        <f t="shared" si="109"/>
        <v>32818.166666666664</v>
      </c>
      <c r="AF79" s="163">
        <f t="shared" si="110"/>
        <v>7044.3611111111113</v>
      </c>
      <c r="AG79" s="163">
        <f t="shared" si="111"/>
        <v>9649.2129999999997</v>
      </c>
      <c r="AH79" s="163">
        <f t="shared" si="112"/>
        <v>5913.1534888888873</v>
      </c>
    </row>
    <row r="80" spans="1:34" ht="16.5" customHeight="1" x14ac:dyDescent="0.25">
      <c r="A80" s="17"/>
      <c r="B80" s="69" t="s">
        <v>274</v>
      </c>
      <c r="C80" s="69" t="s">
        <v>275</v>
      </c>
      <c r="D80" s="32" t="s">
        <v>86</v>
      </c>
      <c r="E80" s="31" t="s">
        <v>121</v>
      </c>
      <c r="F80" s="32">
        <v>2463</v>
      </c>
      <c r="G80" s="127">
        <v>0.4</v>
      </c>
      <c r="H80" s="12">
        <v>38575.259999999995</v>
      </c>
      <c r="I80" s="11">
        <f t="shared" si="95"/>
        <v>6943.5467999999992</v>
      </c>
      <c r="J80" s="45">
        <v>267458.40000000002</v>
      </c>
      <c r="K80" s="20">
        <f t="shared" si="113"/>
        <v>14858.800000000001</v>
      </c>
      <c r="L80" s="11">
        <f>IF(N80&gt;=0.25,+H80*(+$G80+0.05),+H80*$G80)</f>
        <v>15430.103999999999</v>
      </c>
      <c r="M80" s="37">
        <f t="shared" si="114"/>
        <v>1342.8091999999961</v>
      </c>
      <c r="N80" s="54">
        <f t="shared" si="115"/>
        <v>0.14422900907206501</v>
      </c>
      <c r="O80" s="14">
        <v>4475</v>
      </c>
      <c r="P80" s="13">
        <f t="shared" si="99"/>
        <v>805.5</v>
      </c>
      <c r="Q80" s="14">
        <v>174738.75</v>
      </c>
      <c r="R80" s="21">
        <f t="shared" si="116"/>
        <v>9707.7083333333339</v>
      </c>
      <c r="S80" s="13">
        <f>IF(U80&gt;=0.25,+O80*(+$G80+0.05),+O80*$G80)</f>
        <v>1790</v>
      </c>
      <c r="T80" s="14">
        <f t="shared" si="117"/>
        <v>-7828.2083333333339</v>
      </c>
      <c r="U80" s="56">
        <f t="shared" si="118"/>
        <v>2.5609660135487978E-2</v>
      </c>
      <c r="V80" s="16">
        <v>10903.25</v>
      </c>
      <c r="W80" s="15">
        <f t="shared" si="103"/>
        <v>1962.585</v>
      </c>
      <c r="X80" s="16">
        <v>158279</v>
      </c>
      <c r="Y80" s="22">
        <f t="shared" si="119"/>
        <v>8793.2777777777774</v>
      </c>
      <c r="Z80" s="15">
        <f>IF(AB80&gt;=0.25,+V80*(+$G80+0.05),+V80*$G80)</f>
        <v>4361.3</v>
      </c>
      <c r="AA80" s="16">
        <f t="shared" si="120"/>
        <v>-4213.9127777777758</v>
      </c>
      <c r="AB80" s="58">
        <f t="shared" si="121"/>
        <v>6.8886270446490053E-2</v>
      </c>
      <c r="AC80" s="162">
        <f t="shared" si="107"/>
        <v>53953.509999999995</v>
      </c>
      <c r="AD80" s="163">
        <f t="shared" si="108"/>
        <v>9711.6317999999992</v>
      </c>
      <c r="AE80" s="163">
        <f t="shared" si="109"/>
        <v>123864.33666666667</v>
      </c>
      <c r="AF80" s="163">
        <f t="shared" si="110"/>
        <v>33359.786111111112</v>
      </c>
      <c r="AG80" s="163">
        <f t="shared" si="111"/>
        <v>21581.403999999999</v>
      </c>
      <c r="AH80" s="163">
        <f t="shared" si="112"/>
        <v>-10699.311911111119</v>
      </c>
    </row>
    <row r="81" spans="1:34" ht="16.5" customHeight="1" x14ac:dyDescent="0.25">
      <c r="A81" s="17"/>
      <c r="B81" s="69" t="s">
        <v>277</v>
      </c>
      <c r="C81" s="69" t="s">
        <v>278</v>
      </c>
      <c r="D81" s="32" t="s">
        <v>120</v>
      </c>
      <c r="E81" s="31" t="s">
        <v>121</v>
      </c>
      <c r="F81" s="32">
        <v>2464</v>
      </c>
      <c r="G81" s="127">
        <v>0.4</v>
      </c>
      <c r="H81" s="12">
        <v>0</v>
      </c>
      <c r="I81" s="11">
        <f t="shared" si="95"/>
        <v>0</v>
      </c>
      <c r="J81" s="45">
        <v>2015</v>
      </c>
      <c r="K81" s="20">
        <f t="shared" si="113"/>
        <v>111.94444444444444</v>
      </c>
      <c r="L81" s="11">
        <f>IF(N81&gt;=0.25,+H81*(+$G81+0.03),+H81*$G81)</f>
        <v>0</v>
      </c>
      <c r="M81" s="37">
        <f t="shared" si="114"/>
        <v>-111.94444444444444</v>
      </c>
      <c r="N81" s="54">
        <f t="shared" si="115"/>
        <v>0</v>
      </c>
      <c r="O81" s="14">
        <v>0</v>
      </c>
      <c r="P81" s="13">
        <f t="shared" si="99"/>
        <v>0</v>
      </c>
      <c r="Q81" s="14">
        <v>2015</v>
      </c>
      <c r="R81" s="21">
        <f t="shared" si="116"/>
        <v>111.94444444444444</v>
      </c>
      <c r="S81" s="13">
        <f>IF(U81&gt;=0.25,+O81*(+$G81+0.03),+O81*$G81)</f>
        <v>0</v>
      </c>
      <c r="T81" s="14">
        <f t="shared" si="117"/>
        <v>-111.94444444444444</v>
      </c>
      <c r="U81" s="56">
        <f t="shared" si="118"/>
        <v>0</v>
      </c>
      <c r="V81" s="16">
        <v>0</v>
      </c>
      <c r="W81" s="15">
        <f t="shared" si="103"/>
        <v>0</v>
      </c>
      <c r="X81" s="16">
        <v>1905</v>
      </c>
      <c r="Y81" s="22">
        <f t="shared" si="119"/>
        <v>105.83333333333333</v>
      </c>
      <c r="Z81" s="15">
        <f>IF(AB81&gt;=0.25,+V81*(+$G81+0.03),+V81*$G81)</f>
        <v>0</v>
      </c>
      <c r="AA81" s="16">
        <f t="shared" si="120"/>
        <v>-105.83333333333333</v>
      </c>
      <c r="AB81" s="58">
        <f t="shared" si="121"/>
        <v>0</v>
      </c>
      <c r="AC81" s="162">
        <f t="shared" si="107"/>
        <v>0</v>
      </c>
      <c r="AD81" s="163">
        <f t="shared" si="108"/>
        <v>0</v>
      </c>
      <c r="AE81" s="163">
        <f t="shared" si="109"/>
        <v>1306.6666666666667</v>
      </c>
      <c r="AF81" s="163">
        <f t="shared" si="110"/>
        <v>329.72222222222223</v>
      </c>
      <c r="AG81" s="163">
        <f t="shared" si="111"/>
        <v>0</v>
      </c>
      <c r="AH81" s="163">
        <f t="shared" si="112"/>
        <v>-329.72222222222223</v>
      </c>
    </row>
    <row r="82" spans="1:34" ht="16.5" customHeight="1" x14ac:dyDescent="0.25">
      <c r="A82" s="17"/>
      <c r="B82" s="69" t="s">
        <v>204</v>
      </c>
      <c r="C82" s="69" t="s">
        <v>205</v>
      </c>
      <c r="D82" s="32" t="s">
        <v>86</v>
      </c>
      <c r="E82" s="31" t="s">
        <v>121</v>
      </c>
      <c r="F82" s="32">
        <v>2972</v>
      </c>
      <c r="G82" s="127" t="s">
        <v>8</v>
      </c>
      <c r="H82" s="12">
        <v>0</v>
      </c>
      <c r="I82" s="11">
        <f t="shared" si="95"/>
        <v>0</v>
      </c>
      <c r="J82" s="45">
        <v>262</v>
      </c>
      <c r="K82" s="20">
        <f t="shared" si="113"/>
        <v>14.555555555555555</v>
      </c>
      <c r="L82" s="11">
        <f>IF(H82&gt;=29999,+H82*0.4,+H82*0.35)</f>
        <v>0</v>
      </c>
      <c r="M82" s="37">
        <f t="shared" si="114"/>
        <v>-14.555555555555555</v>
      </c>
      <c r="N82" s="54">
        <f t="shared" si="115"/>
        <v>0</v>
      </c>
      <c r="O82" s="14">
        <v>0</v>
      </c>
      <c r="P82" s="13">
        <f t="shared" si="99"/>
        <v>0</v>
      </c>
      <c r="Q82" s="14">
        <v>0</v>
      </c>
      <c r="R82" s="21">
        <f t="shared" si="116"/>
        <v>0</v>
      </c>
      <c r="S82" s="13">
        <f>IF(O82&gt;=29999,+O82*0.4,+O82*0.35)</f>
        <v>0</v>
      </c>
      <c r="T82" s="14">
        <f t="shared" si="117"/>
        <v>0</v>
      </c>
      <c r="U82" s="56">
        <f t="shared" si="118"/>
        <v>0</v>
      </c>
      <c r="V82" s="16">
        <v>0</v>
      </c>
      <c r="W82" s="15">
        <f t="shared" si="103"/>
        <v>0</v>
      </c>
      <c r="X82" s="16">
        <v>0</v>
      </c>
      <c r="Y82" s="22">
        <f t="shared" si="119"/>
        <v>0</v>
      </c>
      <c r="Z82" s="15">
        <f>IF(V82&gt;=29999,+V82*0.4,+V82*0.35)</f>
        <v>0</v>
      </c>
      <c r="AA82" s="16">
        <f t="shared" si="120"/>
        <v>0</v>
      </c>
      <c r="AB82" s="58">
        <f t="shared" si="121"/>
        <v>0</v>
      </c>
      <c r="AC82" s="162">
        <f t="shared" si="107"/>
        <v>0</v>
      </c>
      <c r="AD82" s="163">
        <f t="shared" si="108"/>
        <v>0</v>
      </c>
      <c r="AE82" s="163">
        <f t="shared" si="109"/>
        <v>0</v>
      </c>
      <c r="AF82" s="163">
        <f t="shared" si="110"/>
        <v>14.555555555555555</v>
      </c>
      <c r="AG82" s="163">
        <f t="shared" si="111"/>
        <v>0</v>
      </c>
      <c r="AH82" s="163">
        <f t="shared" si="112"/>
        <v>-14.555555555555555</v>
      </c>
    </row>
    <row r="83" spans="1:34" ht="16.5" customHeight="1" x14ac:dyDescent="0.25">
      <c r="A83" s="17"/>
      <c r="B83" s="69" t="s">
        <v>293</v>
      </c>
      <c r="C83" s="69" t="s">
        <v>294</v>
      </c>
      <c r="D83" s="32" t="s">
        <v>166</v>
      </c>
      <c r="E83" s="31" t="s">
        <v>121</v>
      </c>
      <c r="F83" s="32">
        <v>2481</v>
      </c>
      <c r="G83" s="127">
        <v>0.4</v>
      </c>
      <c r="H83" s="12">
        <v>0</v>
      </c>
      <c r="I83" s="11">
        <f t="shared" si="95"/>
        <v>0</v>
      </c>
      <c r="J83" s="45">
        <v>93740</v>
      </c>
      <c r="K83" s="20">
        <f t="shared" si="113"/>
        <v>5207.7777777777774</v>
      </c>
      <c r="L83" s="11">
        <f>IF(+H83&gt;0,+H83*$G83,0)</f>
        <v>0</v>
      </c>
      <c r="M83" s="37">
        <f t="shared" si="114"/>
        <v>-5207.7777777777774</v>
      </c>
      <c r="N83" s="54">
        <f t="shared" si="115"/>
        <v>0</v>
      </c>
      <c r="O83" s="14">
        <v>0</v>
      </c>
      <c r="P83" s="13">
        <f t="shared" si="99"/>
        <v>0</v>
      </c>
      <c r="Q83" s="14">
        <v>42473</v>
      </c>
      <c r="R83" s="21">
        <f t="shared" si="116"/>
        <v>2359.6111111111113</v>
      </c>
      <c r="S83" s="13">
        <f>IF(+O83&gt;0,+O83*$G83,0)</f>
        <v>0</v>
      </c>
      <c r="T83" s="14">
        <f t="shared" si="117"/>
        <v>-2359.6111111111113</v>
      </c>
      <c r="U83" s="56">
        <f t="shared" si="118"/>
        <v>0</v>
      </c>
      <c r="V83" s="16">
        <v>0</v>
      </c>
      <c r="W83" s="15">
        <f t="shared" si="103"/>
        <v>0</v>
      </c>
      <c r="X83" s="16">
        <v>25838.25</v>
      </c>
      <c r="Y83" s="22">
        <f t="shared" si="119"/>
        <v>1435.4583333333333</v>
      </c>
      <c r="Z83" s="15">
        <f>IF(+V83&gt;0,+V83*$G83,0)</f>
        <v>0</v>
      </c>
      <c r="AA83" s="16">
        <f t="shared" si="120"/>
        <v>-1435.4583333333333</v>
      </c>
      <c r="AB83" s="58">
        <f t="shared" si="121"/>
        <v>0</v>
      </c>
      <c r="AC83" s="162">
        <f t="shared" si="107"/>
        <v>0</v>
      </c>
      <c r="AD83" s="163">
        <f t="shared" si="108"/>
        <v>0</v>
      </c>
      <c r="AE83" s="163">
        <f t="shared" si="109"/>
        <v>22770.416666666668</v>
      </c>
      <c r="AF83" s="163">
        <f t="shared" si="110"/>
        <v>9002.8472222222226</v>
      </c>
      <c r="AG83" s="163">
        <f t="shared" si="111"/>
        <v>0</v>
      </c>
      <c r="AH83" s="163">
        <f t="shared" si="112"/>
        <v>-9002.8472222222226</v>
      </c>
    </row>
    <row r="84" spans="1:34" ht="16.5" customHeight="1" x14ac:dyDescent="0.25">
      <c r="A84" s="17"/>
      <c r="B84" s="69" t="s">
        <v>312</v>
      </c>
      <c r="C84" s="69" t="s">
        <v>313</v>
      </c>
      <c r="D84" s="32" t="s">
        <v>86</v>
      </c>
      <c r="E84" s="31" t="s">
        <v>121</v>
      </c>
      <c r="F84" s="32">
        <v>2543</v>
      </c>
      <c r="G84" s="127">
        <v>0.4</v>
      </c>
      <c r="H84" s="12">
        <v>9144.0399999999991</v>
      </c>
      <c r="I84" s="11">
        <f t="shared" si="95"/>
        <v>1645.9271999999999</v>
      </c>
      <c r="J84" s="45">
        <v>75555</v>
      </c>
      <c r="K84" s="20">
        <f t="shared" si="113"/>
        <v>4197.5</v>
      </c>
      <c r="L84" s="11">
        <f>IF(+H84&gt;0,+H84*$G84,0)</f>
        <v>3657.616</v>
      </c>
      <c r="M84" s="37">
        <f t="shared" si="114"/>
        <v>-357.00320000000102</v>
      </c>
      <c r="N84" s="54">
        <f t="shared" si="115"/>
        <v>0.12102494871285817</v>
      </c>
      <c r="O84" s="14">
        <v>8418.6200000000008</v>
      </c>
      <c r="P84" s="13">
        <f t="shared" si="99"/>
        <v>1515.3516000000002</v>
      </c>
      <c r="Q84" s="14">
        <v>68180</v>
      </c>
      <c r="R84" s="21">
        <f t="shared" si="116"/>
        <v>3787.7777777777778</v>
      </c>
      <c r="S84" s="13">
        <f>IF(+O84&gt;0,+O84*$G84,0)</f>
        <v>3367.4480000000003</v>
      </c>
      <c r="T84" s="14">
        <f t="shared" si="117"/>
        <v>-251.95737777777686</v>
      </c>
      <c r="U84" s="56">
        <f t="shared" si="118"/>
        <v>0.123476386036961</v>
      </c>
      <c r="V84" s="16">
        <v>7805</v>
      </c>
      <c r="W84" s="15">
        <f t="shared" si="103"/>
        <v>1404.8999999999999</v>
      </c>
      <c r="X84" s="16">
        <v>84918.5</v>
      </c>
      <c r="Y84" s="22">
        <f t="shared" si="119"/>
        <v>4717.6944444444443</v>
      </c>
      <c r="Z84" s="15">
        <f>IF(+V84&gt;0,+V84*$G84,0)</f>
        <v>3122</v>
      </c>
      <c r="AA84" s="16">
        <f t="shared" si="120"/>
        <v>-1439.5944444444449</v>
      </c>
      <c r="AB84" s="58">
        <f t="shared" si="121"/>
        <v>9.1911656470615943E-2</v>
      </c>
      <c r="AC84" s="162">
        <f t="shared" si="107"/>
        <v>25367.66</v>
      </c>
      <c r="AD84" s="163">
        <f t="shared" si="108"/>
        <v>4566.1787999999997</v>
      </c>
      <c r="AE84" s="163">
        <f t="shared" si="109"/>
        <v>54080.846666666657</v>
      </c>
      <c r="AF84" s="163">
        <f t="shared" si="110"/>
        <v>12702.972222222223</v>
      </c>
      <c r="AG84" s="163">
        <f t="shared" si="111"/>
        <v>10147.064</v>
      </c>
      <c r="AH84" s="163">
        <f t="shared" si="112"/>
        <v>-2048.5550222222209</v>
      </c>
    </row>
    <row r="85" spans="1:34" ht="16.5" customHeight="1" x14ac:dyDescent="0.25">
      <c r="A85" s="17"/>
      <c r="B85" s="69" t="s">
        <v>314</v>
      </c>
      <c r="C85" s="69" t="s">
        <v>315</v>
      </c>
      <c r="D85" s="32" t="s">
        <v>86</v>
      </c>
      <c r="E85" s="31" t="s">
        <v>121</v>
      </c>
      <c r="F85" s="32">
        <v>2497</v>
      </c>
      <c r="G85" s="127">
        <v>0.35</v>
      </c>
      <c r="H85" s="12">
        <v>6650</v>
      </c>
      <c r="I85" s="11">
        <f t="shared" si="95"/>
        <v>1197</v>
      </c>
      <c r="J85" s="45">
        <v>54735.4</v>
      </c>
      <c r="K85" s="20">
        <f t="shared" ref="K85:K86" si="125">+J85/18</f>
        <v>3040.8555555555558</v>
      </c>
      <c r="L85" s="11">
        <f>IF(N85&gt;=0.25,+H85*(+$G85+0.05),+H85*$G85)</f>
        <v>2327.5</v>
      </c>
      <c r="M85" s="37">
        <f t="shared" si="114"/>
        <v>84.644444444444161</v>
      </c>
      <c r="N85" s="54">
        <f t="shared" si="115"/>
        <v>0.12149358550407963</v>
      </c>
      <c r="O85" s="14">
        <v>2850</v>
      </c>
      <c r="P85" s="13">
        <f t="shared" si="99"/>
        <v>513</v>
      </c>
      <c r="Q85" s="14">
        <v>39671.5</v>
      </c>
      <c r="R85" s="21">
        <f t="shared" si="116"/>
        <v>2203.9722222222222</v>
      </c>
      <c r="S85" s="13">
        <f>IF(U85&gt;=0.25,+O85*(+$G85+0.05),+O85*$G85)</f>
        <v>997.49999999999989</v>
      </c>
      <c r="T85" s="14">
        <f t="shared" si="117"/>
        <v>-864.47222222222217</v>
      </c>
      <c r="U85" s="56">
        <f t="shared" si="118"/>
        <v>7.1839985884072949E-2</v>
      </c>
      <c r="V85" s="16">
        <v>7400</v>
      </c>
      <c r="W85" s="15">
        <f t="shared" si="103"/>
        <v>1332</v>
      </c>
      <c r="X85" s="16">
        <v>55575.75</v>
      </c>
      <c r="Y85" s="22">
        <f t="shared" si="119"/>
        <v>3087.5416666666665</v>
      </c>
      <c r="Z85" s="15">
        <f>IF(AB85&gt;=0.25,+V85*(+$G85+0.05),+V85*$G85)</f>
        <v>2590</v>
      </c>
      <c r="AA85" s="16">
        <f t="shared" si="120"/>
        <v>390.45833333333394</v>
      </c>
      <c r="AB85" s="58">
        <f t="shared" si="121"/>
        <v>0.13315159939362042</v>
      </c>
      <c r="AC85" s="162">
        <f t="shared" si="107"/>
        <v>16900</v>
      </c>
      <c r="AD85" s="163">
        <f t="shared" si="108"/>
        <v>3042</v>
      </c>
      <c r="AE85" s="163">
        <f t="shared" si="109"/>
        <v>33965.75</v>
      </c>
      <c r="AF85" s="163">
        <f t="shared" si="110"/>
        <v>8332.3694444444445</v>
      </c>
      <c r="AG85" s="163">
        <f t="shared" si="111"/>
        <v>5915</v>
      </c>
      <c r="AH85" s="163">
        <f t="shared" si="112"/>
        <v>-389.36944444444453</v>
      </c>
    </row>
    <row r="86" spans="1:34" ht="16.5" customHeight="1" x14ac:dyDescent="0.25">
      <c r="A86" s="17"/>
      <c r="B86" s="69" t="s">
        <v>324</v>
      </c>
      <c r="C86" s="69" t="s">
        <v>325</v>
      </c>
      <c r="D86" s="32" t="s">
        <v>86</v>
      </c>
      <c r="E86" s="31" t="s">
        <v>121</v>
      </c>
      <c r="F86" s="156">
        <v>2335</v>
      </c>
      <c r="G86" s="127">
        <v>0.35</v>
      </c>
      <c r="H86" s="12">
        <v>0</v>
      </c>
      <c r="I86" s="11">
        <f t="shared" si="95"/>
        <v>0</v>
      </c>
      <c r="J86" s="45">
        <v>3298</v>
      </c>
      <c r="K86" s="20">
        <f t="shared" si="125"/>
        <v>183.22222222222223</v>
      </c>
      <c r="L86" s="11">
        <f>IF(N86&gt;=0.25,+H86*(+$G86+0.05),+H86*$G86)</f>
        <v>0</v>
      </c>
      <c r="M86" s="37">
        <f t="shared" si="114"/>
        <v>-183.22222222222223</v>
      </c>
      <c r="N86" s="54">
        <f t="shared" si="115"/>
        <v>0</v>
      </c>
      <c r="O86" s="14">
        <v>0</v>
      </c>
      <c r="P86" s="13">
        <f t="shared" si="99"/>
        <v>0</v>
      </c>
      <c r="Q86" s="14">
        <v>10022.5</v>
      </c>
      <c r="R86" s="21">
        <f t="shared" si="116"/>
        <v>556.80555555555554</v>
      </c>
      <c r="S86" s="13">
        <f>IF(U86&gt;=0.25,+O86*(+$G86+0.05),+O86*$G86)</f>
        <v>0</v>
      </c>
      <c r="T86" s="14">
        <f t="shared" si="117"/>
        <v>-556.80555555555554</v>
      </c>
      <c r="U86" s="56">
        <f t="shared" si="118"/>
        <v>0</v>
      </c>
      <c r="V86" s="16">
        <v>0</v>
      </c>
      <c r="W86" s="15">
        <f t="shared" si="103"/>
        <v>0</v>
      </c>
      <c r="X86" s="16">
        <v>2800</v>
      </c>
      <c r="Y86" s="22">
        <f t="shared" si="119"/>
        <v>155.55555555555554</v>
      </c>
      <c r="Z86" s="15">
        <f>IF(AB86&gt;=0.25,+V86*(+$G86+0.05),+V86*$G86)</f>
        <v>0</v>
      </c>
      <c r="AA86" s="16">
        <f t="shared" si="120"/>
        <v>-155.55555555555554</v>
      </c>
      <c r="AB86" s="58">
        <f t="shared" si="121"/>
        <v>0</v>
      </c>
      <c r="AC86" s="162">
        <f t="shared" si="107"/>
        <v>0</v>
      </c>
      <c r="AD86" s="163">
        <f t="shared" si="108"/>
        <v>0</v>
      </c>
      <c r="AE86" s="163">
        <f t="shared" si="109"/>
        <v>4274.166666666667</v>
      </c>
      <c r="AF86" s="163">
        <f t="shared" si="110"/>
        <v>895.58333333333337</v>
      </c>
      <c r="AG86" s="163">
        <f t="shared" si="111"/>
        <v>0</v>
      </c>
      <c r="AH86" s="163">
        <f t="shared" si="112"/>
        <v>-895.58333333333337</v>
      </c>
    </row>
    <row r="87" spans="1:34" ht="16.5" customHeight="1" x14ac:dyDescent="0.25">
      <c r="A87" s="17"/>
      <c r="B87" s="69" t="s">
        <v>180</v>
      </c>
      <c r="C87" s="69" t="s">
        <v>181</v>
      </c>
      <c r="D87" s="32" t="s">
        <v>302</v>
      </c>
      <c r="E87" s="31" t="s">
        <v>121</v>
      </c>
      <c r="F87" s="32">
        <v>2502</v>
      </c>
      <c r="G87" s="127" t="s">
        <v>8</v>
      </c>
      <c r="H87" s="12">
        <v>14830</v>
      </c>
      <c r="I87" s="11">
        <f t="shared" si="95"/>
        <v>2669.4</v>
      </c>
      <c r="J87" s="45">
        <v>17103</v>
      </c>
      <c r="K87" s="20">
        <f t="shared" ref="K87" si="126">J87/18</f>
        <v>950.16666666666663</v>
      </c>
      <c r="L87" s="11">
        <v>0</v>
      </c>
      <c r="M87" s="37">
        <f t="shared" ref="M87" si="127">H87-(K87+L87+I87)</f>
        <v>11210.433333333334</v>
      </c>
      <c r="N87" s="54">
        <f t="shared" si="115"/>
        <v>0.86709933929719929</v>
      </c>
      <c r="O87" s="14">
        <v>9350</v>
      </c>
      <c r="P87" s="13">
        <f t="shared" si="99"/>
        <v>1683</v>
      </c>
      <c r="Q87" s="14">
        <v>0</v>
      </c>
      <c r="R87" s="21">
        <f t="shared" si="116"/>
        <v>0</v>
      </c>
      <c r="S87" s="13">
        <v>0</v>
      </c>
      <c r="T87" s="14">
        <f t="shared" si="117"/>
        <v>7667</v>
      </c>
      <c r="U87" s="56" t="str">
        <f t="shared" si="118"/>
        <v>n/m</v>
      </c>
      <c r="V87" s="16">
        <v>0</v>
      </c>
      <c r="W87" s="15">
        <f t="shared" si="103"/>
        <v>0</v>
      </c>
      <c r="X87" s="16">
        <v>0</v>
      </c>
      <c r="Y87" s="22">
        <f t="shared" si="119"/>
        <v>0</v>
      </c>
      <c r="Z87" s="15">
        <v>0</v>
      </c>
      <c r="AA87" s="16">
        <f t="shared" si="120"/>
        <v>0</v>
      </c>
      <c r="AB87" s="58">
        <f t="shared" si="121"/>
        <v>0</v>
      </c>
      <c r="AC87" s="162">
        <f t="shared" si="107"/>
        <v>24180</v>
      </c>
      <c r="AD87" s="163">
        <f t="shared" si="108"/>
        <v>4352.3999999999996</v>
      </c>
      <c r="AE87" s="163">
        <f t="shared" si="109"/>
        <v>4943.333333333333</v>
      </c>
      <c r="AF87" s="163">
        <f t="shared" si="110"/>
        <v>950.16666666666663</v>
      </c>
      <c r="AG87" s="163">
        <f t="shared" si="111"/>
        <v>0</v>
      </c>
      <c r="AH87" s="163">
        <f t="shared" si="112"/>
        <v>18877.433333333331</v>
      </c>
    </row>
    <row r="88" spans="1:34" ht="16.5" customHeight="1" thickBot="1" x14ac:dyDescent="0.3">
      <c r="A88" s="17"/>
      <c r="B88" s="69" t="s">
        <v>398</v>
      </c>
      <c r="C88" s="69" t="s">
        <v>397</v>
      </c>
      <c r="D88" s="32" t="s">
        <v>86</v>
      </c>
      <c r="E88" s="31" t="s">
        <v>121</v>
      </c>
      <c r="F88" s="32">
        <v>2170</v>
      </c>
      <c r="G88" s="127">
        <v>0.4</v>
      </c>
      <c r="H88" s="12">
        <v>0</v>
      </c>
      <c r="I88" s="11">
        <f t="shared" si="95"/>
        <v>0</v>
      </c>
      <c r="J88" s="45">
        <v>0</v>
      </c>
      <c r="K88" s="20">
        <f t="shared" si="96"/>
        <v>0</v>
      </c>
      <c r="L88" s="11">
        <f>IF(+H88&gt;0,+H88*$G88,0)</f>
        <v>0</v>
      </c>
      <c r="M88" s="37">
        <f t="shared" si="114"/>
        <v>0</v>
      </c>
      <c r="N88" s="54">
        <f t="shared" si="98"/>
        <v>0</v>
      </c>
      <c r="O88" s="14">
        <v>0</v>
      </c>
      <c r="P88" s="13">
        <f t="shared" si="99"/>
        <v>0</v>
      </c>
      <c r="Q88" s="14">
        <v>0</v>
      </c>
      <c r="R88" s="21">
        <f t="shared" si="100"/>
        <v>0</v>
      </c>
      <c r="S88" s="13">
        <f>IF(U88&gt;=0.25,+O88*(+$G88+0.05),+O88*$G88)</f>
        <v>0</v>
      </c>
      <c r="T88" s="14">
        <f t="shared" si="101"/>
        <v>0</v>
      </c>
      <c r="U88" s="56">
        <f t="shared" si="102"/>
        <v>0</v>
      </c>
      <c r="V88" s="16">
        <v>13307.5</v>
      </c>
      <c r="W88" s="15">
        <f t="shared" si="103"/>
        <v>2395.35</v>
      </c>
      <c r="X88" s="16">
        <v>29960</v>
      </c>
      <c r="Y88" s="22">
        <f t="shared" si="104"/>
        <v>1664.4444444444443</v>
      </c>
      <c r="Z88" s="15">
        <f>IF(+V88&gt;0,+V88*$G88,0)</f>
        <v>5323</v>
      </c>
      <c r="AA88" s="16">
        <f t="shared" si="105"/>
        <v>3924.7055555555562</v>
      </c>
      <c r="AB88" s="58">
        <f t="shared" si="106"/>
        <v>0.444175567423231</v>
      </c>
      <c r="AC88" s="162">
        <f t="shared" si="107"/>
        <v>13307.5</v>
      </c>
      <c r="AD88" s="163">
        <f t="shared" si="108"/>
        <v>2395.35</v>
      </c>
      <c r="AE88" s="163">
        <f t="shared" si="109"/>
        <v>9986.6666666666661</v>
      </c>
      <c r="AF88" s="163">
        <f t="shared" si="110"/>
        <v>1664.4444444444443</v>
      </c>
      <c r="AG88" s="163">
        <f t="shared" si="111"/>
        <v>5323</v>
      </c>
      <c r="AH88" s="163">
        <f t="shared" si="112"/>
        <v>3924.7055555555562</v>
      </c>
    </row>
    <row r="89" spans="1:34" ht="16.5" customHeight="1" thickBot="1" x14ac:dyDescent="0.3">
      <c r="A89" s="9"/>
      <c r="B89" s="59" t="s">
        <v>145</v>
      </c>
      <c r="C89" s="61"/>
      <c r="D89" s="33"/>
      <c r="E89" s="33"/>
      <c r="F89" s="33"/>
      <c r="G89" s="128"/>
      <c r="H89" s="80">
        <f>SUM(H71:H88)</f>
        <v>192964.25</v>
      </c>
      <c r="I89" s="77">
        <f>SUM(I71:I88)</f>
        <v>34733.564999999995</v>
      </c>
      <c r="J89" s="80">
        <f>SUM(J71:J88)</f>
        <v>1540852.9</v>
      </c>
      <c r="K89" s="79">
        <f t="shared" si="96"/>
        <v>85602.938888888879</v>
      </c>
      <c r="L89" s="76">
        <f>SUM(L71:L88)</f>
        <v>68556.424499999994</v>
      </c>
      <c r="M89" s="80">
        <f>SUM(M71:M88)</f>
        <v>4071.3216111111124</v>
      </c>
      <c r="N89" s="81">
        <f t="shared" si="98"/>
        <v>0.12523210359665093</v>
      </c>
      <c r="O89" s="95">
        <f t="shared" ref="O89:T89" si="128">SUM(O71:O88)</f>
        <v>229932.72999999998</v>
      </c>
      <c r="P89" s="83">
        <f t="shared" si="128"/>
        <v>41387.8914</v>
      </c>
      <c r="Q89" s="95">
        <f t="shared" si="128"/>
        <v>1467646.25</v>
      </c>
      <c r="R89" s="84">
        <f t="shared" si="128"/>
        <v>81535.902777777766</v>
      </c>
      <c r="S89" s="82">
        <f t="shared" si="128"/>
        <v>85091.62</v>
      </c>
      <c r="T89" s="95">
        <f t="shared" si="128"/>
        <v>21917.315822222212</v>
      </c>
      <c r="U89" s="85">
        <f t="shared" si="102"/>
        <v>0.15666767792306899</v>
      </c>
      <c r="V89" s="97">
        <f t="shared" ref="V89:AH89" si="129">SUM(V71:V88)</f>
        <v>198777.65</v>
      </c>
      <c r="W89" s="87">
        <f t="shared" si="129"/>
        <v>35779.976999999999</v>
      </c>
      <c r="X89" s="97">
        <f t="shared" si="129"/>
        <v>1466211.75</v>
      </c>
      <c r="Y89" s="88">
        <f t="shared" si="129"/>
        <v>81456.208333333314</v>
      </c>
      <c r="Z89" s="86">
        <f t="shared" si="129"/>
        <v>74965.550500000012</v>
      </c>
      <c r="AA89" s="97">
        <f t="shared" si="129"/>
        <v>6575.9141666666756</v>
      </c>
      <c r="AB89" s="89">
        <f t="shared" si="106"/>
        <v>0.13557226642059034</v>
      </c>
      <c r="AC89" s="164">
        <f t="shared" si="129"/>
        <v>621674.62999999989</v>
      </c>
      <c r="AD89" s="168">
        <f t="shared" si="129"/>
        <v>111901.43339999999</v>
      </c>
      <c r="AE89" s="164">
        <f t="shared" si="129"/>
        <v>1042274.0833333334</v>
      </c>
      <c r="AF89" s="165">
        <f t="shared" si="129"/>
        <v>248595.05</v>
      </c>
      <c r="AG89" s="165">
        <f t="shared" si="129"/>
        <v>228613.59500000003</v>
      </c>
      <c r="AH89" s="164">
        <f t="shared" si="129"/>
        <v>32564.551600000035</v>
      </c>
    </row>
    <row r="90" spans="1:34" ht="16.5" customHeight="1" x14ac:dyDescent="0.25">
      <c r="A90" s="9"/>
      <c r="B90" s="61"/>
      <c r="C90" s="61"/>
      <c r="D90" s="33"/>
      <c r="E90" s="33"/>
      <c r="F90" s="33"/>
      <c r="G90" s="128"/>
      <c r="H90" s="76"/>
      <c r="I90" s="77"/>
      <c r="J90" s="78"/>
      <c r="K90" s="79"/>
      <c r="L90" s="99">
        <f>+L89/H89</f>
        <v>0.35528044443465562</v>
      </c>
      <c r="M90" s="76"/>
      <c r="N90" s="81"/>
      <c r="O90" s="82"/>
      <c r="P90" s="83"/>
      <c r="Q90" s="82"/>
      <c r="R90" s="84"/>
      <c r="S90" s="106">
        <f>+S89/O89</f>
        <v>0.37007180317478072</v>
      </c>
      <c r="T90" s="82"/>
      <c r="U90" s="85"/>
      <c r="V90" s="86"/>
      <c r="W90" s="87"/>
      <c r="X90" s="86"/>
      <c r="Y90" s="88"/>
      <c r="Z90" s="107">
        <f>+Z89/V89</f>
        <v>0.37713269323789678</v>
      </c>
      <c r="AA90" s="86"/>
      <c r="AB90" s="89"/>
      <c r="AC90" s="169"/>
      <c r="AD90" s="167"/>
      <c r="AE90" s="167"/>
      <c r="AF90" s="167"/>
      <c r="AG90" s="167"/>
      <c r="AH90" s="167"/>
    </row>
    <row r="91" spans="1:34" ht="16.5" customHeight="1" x14ac:dyDescent="0.25">
      <c r="A91" s="9"/>
      <c r="B91" s="70" t="s">
        <v>10</v>
      </c>
      <c r="C91" s="70" t="s">
        <v>373</v>
      </c>
      <c r="D91" s="31" t="s">
        <v>80</v>
      </c>
      <c r="E91" s="31" t="s">
        <v>167</v>
      </c>
      <c r="F91" s="31">
        <v>2155</v>
      </c>
      <c r="G91" s="126">
        <v>0.4</v>
      </c>
      <c r="H91" s="12">
        <v>350</v>
      </c>
      <c r="I91" s="11">
        <f t="shared" ref="I91:I96" si="130">+H91*$G$181</f>
        <v>63</v>
      </c>
      <c r="J91" s="45">
        <v>48654.8</v>
      </c>
      <c r="K91" s="20">
        <f t="shared" ref="K91:K130" si="131">J91/18</f>
        <v>2703.0444444444447</v>
      </c>
      <c r="L91" s="11">
        <f>IF(+H91&gt;0,+H91*$G91,0)</f>
        <v>140</v>
      </c>
      <c r="M91" s="12">
        <f t="shared" ref="M91:M121" si="132">H91-(K91+L91+I91)</f>
        <v>-2556.0444444444447</v>
      </c>
      <c r="N91" s="54">
        <f t="shared" ref="N91:N96" si="133">IF(H91&gt;0,IF(J91&gt;0,+H91/J91,"n/m"),0)</f>
        <v>7.1935348619252357E-3</v>
      </c>
      <c r="O91" s="14">
        <v>0</v>
      </c>
      <c r="P91" s="13">
        <f t="shared" ref="P91:P121" si="134">+O91*$G$181</f>
        <v>0</v>
      </c>
      <c r="Q91" s="14">
        <v>20850</v>
      </c>
      <c r="R91" s="21">
        <f t="shared" ref="R91:R121" si="135">Q91/18</f>
        <v>1158.3333333333333</v>
      </c>
      <c r="S91" s="13">
        <f>IF(+O91&gt;0,+O91*$G91,0)</f>
        <v>0</v>
      </c>
      <c r="T91" s="14">
        <f t="shared" ref="T91:T121" si="136">O91-(R91+S91+P91)</f>
        <v>-1158.3333333333333</v>
      </c>
      <c r="U91" s="56">
        <f t="shared" ref="U91:U96" si="137">IF(O91&gt;0,IF(Q91&gt;0,+O91/Q91,"n/m"),0)</f>
        <v>0</v>
      </c>
      <c r="V91" s="16">
        <v>0</v>
      </c>
      <c r="W91" s="15">
        <f t="shared" ref="W91:W121" si="138">+V91*$G$181</f>
        <v>0</v>
      </c>
      <c r="X91" s="16">
        <v>26220.5</v>
      </c>
      <c r="Y91" s="22">
        <f t="shared" ref="Y91:Y121" si="139">X91/18</f>
        <v>1456.6944444444443</v>
      </c>
      <c r="Z91" s="15">
        <f>IF(+V91&gt;0,+V91*$G91,0)</f>
        <v>0</v>
      </c>
      <c r="AA91" s="16">
        <f t="shared" ref="AA91:AA121" si="140">V91-(Y91+Z91+W91)</f>
        <v>-1456.6944444444443</v>
      </c>
      <c r="AB91" s="58">
        <f t="shared" ref="AB91:AB96" si="141">IF(V91&gt;0,IF(X91&gt;0,+V91/X91,"n/m"),0)</f>
        <v>0</v>
      </c>
      <c r="AC91" s="162">
        <f t="shared" ref="AC91:AC121" si="142">+H91+O91+V91</f>
        <v>350</v>
      </c>
      <c r="AD91" s="163">
        <f t="shared" ref="AD91:AD121" si="143">+I91+P91+W91</f>
        <v>63</v>
      </c>
      <c r="AE91" s="163">
        <f t="shared" ref="AE91:AE121" si="144">(+H91+Q91+X91)/3</f>
        <v>15806.833333333334</v>
      </c>
      <c r="AF91" s="163">
        <f t="shared" ref="AF91:AF121" si="145">+K91+R91+Y91</f>
        <v>5318.0722222222221</v>
      </c>
      <c r="AG91" s="163">
        <f t="shared" ref="AG91:AG121" si="146">+L91+S91+Z91</f>
        <v>140</v>
      </c>
      <c r="AH91" s="163">
        <f t="shared" ref="AH91:AH121" si="147">+AC91-AD91-AF91-AG91</f>
        <v>-5171.0722222222221</v>
      </c>
    </row>
    <row r="92" spans="1:34" ht="16.5" customHeight="1" x14ac:dyDescent="0.25">
      <c r="A92" s="9"/>
      <c r="B92" s="71" t="s">
        <v>15</v>
      </c>
      <c r="C92" s="71" t="s">
        <v>25</v>
      </c>
      <c r="D92" s="32" t="s">
        <v>79</v>
      </c>
      <c r="E92" s="31" t="s">
        <v>167</v>
      </c>
      <c r="F92" s="32">
        <v>2204</v>
      </c>
      <c r="G92" s="127">
        <v>0.3</v>
      </c>
      <c r="H92" s="12">
        <v>0</v>
      </c>
      <c r="I92" s="11">
        <f t="shared" si="130"/>
        <v>0</v>
      </c>
      <c r="J92" s="45">
        <v>3036</v>
      </c>
      <c r="K92" s="20">
        <f t="shared" si="131"/>
        <v>168.66666666666666</v>
      </c>
      <c r="L92" s="11">
        <f>IF(+H92&gt;=50000,0.4*H92,IF(H92&lt;25000,0.3*H92,H92*0.35))</f>
        <v>0</v>
      </c>
      <c r="M92" s="37">
        <f t="shared" si="132"/>
        <v>-168.66666666666666</v>
      </c>
      <c r="N92" s="54">
        <f t="shared" si="133"/>
        <v>0</v>
      </c>
      <c r="O92" s="14">
        <v>0</v>
      </c>
      <c r="P92" s="13">
        <f t="shared" si="134"/>
        <v>0</v>
      </c>
      <c r="Q92" s="14">
        <v>2860</v>
      </c>
      <c r="R92" s="21">
        <f t="shared" si="135"/>
        <v>158.88888888888889</v>
      </c>
      <c r="S92" s="13">
        <f>IF(+O92&gt;=50000,0.4*O92,IF(O92&lt;25000,0.3*O92,O92*0.35))</f>
        <v>0</v>
      </c>
      <c r="T92" s="14">
        <f t="shared" si="136"/>
        <v>-158.88888888888889</v>
      </c>
      <c r="U92" s="56">
        <f t="shared" si="137"/>
        <v>0</v>
      </c>
      <c r="V92" s="16">
        <v>0</v>
      </c>
      <c r="W92" s="15">
        <f t="shared" si="138"/>
        <v>0</v>
      </c>
      <c r="X92" s="16">
        <v>2860</v>
      </c>
      <c r="Y92" s="22">
        <f t="shared" si="139"/>
        <v>158.88888888888889</v>
      </c>
      <c r="Z92" s="15">
        <f>IF(+V92&gt;=50000,0.4*V92,IF(V92&lt;25000,0.3*V92,V92*0.35))</f>
        <v>0</v>
      </c>
      <c r="AA92" s="16">
        <f t="shared" si="140"/>
        <v>-158.88888888888889</v>
      </c>
      <c r="AB92" s="58">
        <f t="shared" si="141"/>
        <v>0</v>
      </c>
      <c r="AC92" s="162">
        <f t="shared" si="142"/>
        <v>0</v>
      </c>
      <c r="AD92" s="163">
        <f t="shared" si="143"/>
        <v>0</v>
      </c>
      <c r="AE92" s="163">
        <f t="shared" si="144"/>
        <v>1906.6666666666667</v>
      </c>
      <c r="AF92" s="163">
        <f t="shared" si="145"/>
        <v>486.44444444444446</v>
      </c>
      <c r="AG92" s="163">
        <f t="shared" si="146"/>
        <v>0</v>
      </c>
      <c r="AH92" s="163">
        <f t="shared" si="147"/>
        <v>-486.44444444444446</v>
      </c>
    </row>
    <row r="93" spans="1:34" ht="16.5" customHeight="1" x14ac:dyDescent="0.25">
      <c r="A93" s="9"/>
      <c r="B93" s="69" t="s">
        <v>52</v>
      </c>
      <c r="C93" s="69" t="s">
        <v>49</v>
      </c>
      <c r="D93" s="32" t="s">
        <v>80</v>
      </c>
      <c r="E93" s="31" t="s">
        <v>167</v>
      </c>
      <c r="F93" s="32">
        <v>2276</v>
      </c>
      <c r="G93" s="127">
        <v>0.4</v>
      </c>
      <c r="H93" s="12">
        <v>16950</v>
      </c>
      <c r="I93" s="11">
        <f t="shared" si="130"/>
        <v>3051</v>
      </c>
      <c r="J93" s="45">
        <v>56752</v>
      </c>
      <c r="K93" s="20">
        <f t="shared" si="131"/>
        <v>3152.8888888888887</v>
      </c>
      <c r="L93" s="11">
        <f>IF(+H93&gt;=40000,0.4*H93,0.35*H93)</f>
        <v>5932.5</v>
      </c>
      <c r="M93" s="12">
        <f t="shared" si="132"/>
        <v>4813.6111111111113</v>
      </c>
      <c r="N93" s="54">
        <f t="shared" si="133"/>
        <v>0.29866788835635749</v>
      </c>
      <c r="O93" s="14">
        <v>18550</v>
      </c>
      <c r="P93" s="13">
        <f t="shared" si="134"/>
        <v>3339</v>
      </c>
      <c r="Q93" s="14">
        <v>56463</v>
      </c>
      <c r="R93" s="21">
        <f t="shared" si="135"/>
        <v>3136.8333333333335</v>
      </c>
      <c r="S93" s="13">
        <f>IF(+O93&gt;=40000,0.4*O93,0.35*O93)</f>
        <v>6492.5</v>
      </c>
      <c r="T93" s="14">
        <f t="shared" si="136"/>
        <v>5581.6666666666661</v>
      </c>
      <c r="U93" s="56">
        <f t="shared" si="137"/>
        <v>0.32853373005330927</v>
      </c>
      <c r="V93" s="16">
        <v>8000</v>
      </c>
      <c r="W93" s="15">
        <f t="shared" si="138"/>
        <v>1440</v>
      </c>
      <c r="X93" s="16">
        <v>55183.25</v>
      </c>
      <c r="Y93" s="22">
        <f t="shared" si="139"/>
        <v>3065.7361111111113</v>
      </c>
      <c r="Z93" s="15">
        <f>IF(+V93&gt;=40000,0.4*V93,0.35*V93)</f>
        <v>2800</v>
      </c>
      <c r="AA93" s="16">
        <f t="shared" si="140"/>
        <v>694.26388888888869</v>
      </c>
      <c r="AB93" s="58">
        <f t="shared" si="141"/>
        <v>0.14497152668608682</v>
      </c>
      <c r="AC93" s="162">
        <f t="shared" si="142"/>
        <v>43500</v>
      </c>
      <c r="AD93" s="163">
        <f t="shared" si="143"/>
        <v>7830</v>
      </c>
      <c r="AE93" s="163">
        <f t="shared" si="144"/>
        <v>42865.416666666664</v>
      </c>
      <c r="AF93" s="163">
        <f t="shared" si="145"/>
        <v>9355.4583333333339</v>
      </c>
      <c r="AG93" s="163">
        <f t="shared" si="146"/>
        <v>15225</v>
      </c>
      <c r="AH93" s="163">
        <f t="shared" si="147"/>
        <v>11089.541666666664</v>
      </c>
    </row>
    <row r="94" spans="1:34" ht="16.5" customHeight="1" x14ac:dyDescent="0.25">
      <c r="A94" s="17"/>
      <c r="B94" s="69" t="s">
        <v>45</v>
      </c>
      <c r="C94" s="69" t="s">
        <v>46</v>
      </c>
      <c r="D94" s="32" t="s">
        <v>75</v>
      </c>
      <c r="E94" s="31" t="s">
        <v>167</v>
      </c>
      <c r="F94" s="36">
        <v>2303</v>
      </c>
      <c r="G94" s="127">
        <v>0.35</v>
      </c>
      <c r="H94" s="12">
        <v>2850</v>
      </c>
      <c r="I94" s="11">
        <f t="shared" si="130"/>
        <v>513</v>
      </c>
      <c r="J94" s="45">
        <v>14704</v>
      </c>
      <c r="K94" s="20">
        <f t="shared" si="131"/>
        <v>816.88888888888891</v>
      </c>
      <c r="L94" s="11">
        <f>IF(+H94&gt;0,+H94*$G94,0)</f>
        <v>997.49999999999989</v>
      </c>
      <c r="M94" s="12">
        <f t="shared" si="132"/>
        <v>522.61111111111131</v>
      </c>
      <c r="N94" s="54">
        <f t="shared" si="133"/>
        <v>0.19382480957562567</v>
      </c>
      <c r="O94" s="14">
        <v>0</v>
      </c>
      <c r="P94" s="13">
        <f t="shared" si="134"/>
        <v>0</v>
      </c>
      <c r="Q94" s="14">
        <v>14585</v>
      </c>
      <c r="R94" s="21">
        <f t="shared" si="135"/>
        <v>810.27777777777783</v>
      </c>
      <c r="S94" s="13">
        <f>IF(+O94&gt;0,+O94*$G94,0)</f>
        <v>0</v>
      </c>
      <c r="T94" s="14">
        <f t="shared" si="136"/>
        <v>-810.27777777777783</v>
      </c>
      <c r="U94" s="56">
        <f t="shared" si="137"/>
        <v>0</v>
      </c>
      <c r="V94" s="16">
        <v>2850</v>
      </c>
      <c r="W94" s="15">
        <f t="shared" si="138"/>
        <v>513</v>
      </c>
      <c r="X94" s="16">
        <v>5447.5</v>
      </c>
      <c r="Y94" s="22">
        <f t="shared" si="139"/>
        <v>302.63888888888891</v>
      </c>
      <c r="Z94" s="15">
        <f>IF(+V94&gt;0,+V94*$G94,0)</f>
        <v>997.49999999999989</v>
      </c>
      <c r="AA94" s="16">
        <f t="shared" si="140"/>
        <v>1036.8611111111113</v>
      </c>
      <c r="AB94" s="58">
        <f t="shared" si="141"/>
        <v>0.52317576870123905</v>
      </c>
      <c r="AC94" s="162">
        <f t="shared" si="142"/>
        <v>5700</v>
      </c>
      <c r="AD94" s="163">
        <f t="shared" si="143"/>
        <v>1026</v>
      </c>
      <c r="AE94" s="163">
        <f t="shared" si="144"/>
        <v>7627.5</v>
      </c>
      <c r="AF94" s="163">
        <f t="shared" si="145"/>
        <v>1929.8055555555557</v>
      </c>
      <c r="AG94" s="163">
        <f t="shared" si="146"/>
        <v>1994.9999999999998</v>
      </c>
      <c r="AH94" s="163">
        <f t="shared" si="147"/>
        <v>749.19444444444457</v>
      </c>
    </row>
    <row r="95" spans="1:34" ht="16.5" customHeight="1" x14ac:dyDescent="0.25">
      <c r="A95" s="9"/>
      <c r="B95" s="70" t="s">
        <v>55</v>
      </c>
      <c r="C95" s="70" t="s">
        <v>56</v>
      </c>
      <c r="D95" s="31" t="s">
        <v>71</v>
      </c>
      <c r="E95" s="31" t="s">
        <v>167</v>
      </c>
      <c r="F95" s="31">
        <v>2897</v>
      </c>
      <c r="G95" s="126">
        <v>0.35</v>
      </c>
      <c r="H95" s="12">
        <v>0</v>
      </c>
      <c r="I95" s="11">
        <f t="shared" si="130"/>
        <v>0</v>
      </c>
      <c r="J95" s="45">
        <v>5870</v>
      </c>
      <c r="K95" s="20">
        <f t="shared" si="131"/>
        <v>326.11111111111109</v>
      </c>
      <c r="L95" s="11">
        <f>IF(+H95&gt;0,+H95*$G95,0)</f>
        <v>0</v>
      </c>
      <c r="M95" s="12">
        <f t="shared" si="132"/>
        <v>-326.11111111111109</v>
      </c>
      <c r="N95" s="54">
        <f t="shared" si="133"/>
        <v>0</v>
      </c>
      <c r="O95" s="14">
        <v>0</v>
      </c>
      <c r="P95" s="13">
        <f t="shared" si="134"/>
        <v>0</v>
      </c>
      <c r="Q95" s="14">
        <v>5598</v>
      </c>
      <c r="R95" s="21">
        <f t="shared" si="135"/>
        <v>311</v>
      </c>
      <c r="S95" s="13">
        <f>IF(+O95&gt;0,+O95*$G95,0)</f>
        <v>0</v>
      </c>
      <c r="T95" s="14">
        <f t="shared" si="136"/>
        <v>-311</v>
      </c>
      <c r="U95" s="56">
        <f t="shared" si="137"/>
        <v>0</v>
      </c>
      <c r="V95" s="16">
        <v>0</v>
      </c>
      <c r="W95" s="15">
        <f t="shared" si="138"/>
        <v>0</v>
      </c>
      <c r="X95" s="16">
        <v>5287</v>
      </c>
      <c r="Y95" s="22">
        <f t="shared" si="139"/>
        <v>293.72222222222223</v>
      </c>
      <c r="Z95" s="15">
        <f>IF(+V95&gt;0,+V95*$G95,0)</f>
        <v>0</v>
      </c>
      <c r="AA95" s="16">
        <f t="shared" si="140"/>
        <v>-293.72222222222223</v>
      </c>
      <c r="AB95" s="58">
        <f t="shared" si="141"/>
        <v>0</v>
      </c>
      <c r="AC95" s="162">
        <f t="shared" si="142"/>
        <v>0</v>
      </c>
      <c r="AD95" s="163">
        <f t="shared" si="143"/>
        <v>0</v>
      </c>
      <c r="AE95" s="163">
        <f t="shared" si="144"/>
        <v>3628.3333333333335</v>
      </c>
      <c r="AF95" s="163">
        <f t="shared" si="145"/>
        <v>930.83333333333326</v>
      </c>
      <c r="AG95" s="163">
        <f t="shared" si="146"/>
        <v>0</v>
      </c>
      <c r="AH95" s="163">
        <f t="shared" si="147"/>
        <v>-930.83333333333326</v>
      </c>
    </row>
    <row r="96" spans="1:34" ht="16.5" customHeight="1" x14ac:dyDescent="0.25">
      <c r="A96" s="9"/>
      <c r="B96" s="70" t="s">
        <v>64</v>
      </c>
      <c r="C96" s="70" t="s">
        <v>65</v>
      </c>
      <c r="D96" s="31" t="s">
        <v>71</v>
      </c>
      <c r="E96" s="31" t="s">
        <v>167</v>
      </c>
      <c r="F96" s="31">
        <v>2915</v>
      </c>
      <c r="G96" s="126">
        <v>0.35</v>
      </c>
      <c r="H96" s="12">
        <v>0</v>
      </c>
      <c r="I96" s="11">
        <f t="shared" si="130"/>
        <v>0</v>
      </c>
      <c r="J96" s="45">
        <v>1986</v>
      </c>
      <c r="K96" s="20">
        <f t="shared" si="131"/>
        <v>110.33333333333333</v>
      </c>
      <c r="L96" s="11"/>
      <c r="M96" s="12">
        <f t="shared" si="132"/>
        <v>-110.33333333333333</v>
      </c>
      <c r="N96" s="54">
        <f t="shared" si="133"/>
        <v>0</v>
      </c>
      <c r="O96" s="14">
        <v>1150</v>
      </c>
      <c r="P96" s="13">
        <f t="shared" si="134"/>
        <v>207</v>
      </c>
      <c r="Q96" s="14">
        <v>14800</v>
      </c>
      <c r="R96" s="21">
        <f t="shared" si="135"/>
        <v>822.22222222222217</v>
      </c>
      <c r="S96" s="13"/>
      <c r="T96" s="14">
        <f t="shared" si="136"/>
        <v>120.77777777777783</v>
      </c>
      <c r="U96" s="56">
        <f t="shared" si="137"/>
        <v>7.77027027027027E-2</v>
      </c>
      <c r="V96" s="16">
        <v>1150</v>
      </c>
      <c r="W96" s="15">
        <f t="shared" si="138"/>
        <v>207</v>
      </c>
      <c r="X96" s="16">
        <v>7468.5</v>
      </c>
      <c r="Y96" s="22">
        <f t="shared" si="139"/>
        <v>414.91666666666669</v>
      </c>
      <c r="Z96" s="15">
        <f>+V96*0.35</f>
        <v>402.5</v>
      </c>
      <c r="AA96" s="16">
        <f t="shared" si="140"/>
        <v>125.58333333333326</v>
      </c>
      <c r="AB96" s="58">
        <f t="shared" si="141"/>
        <v>0.15398004954140723</v>
      </c>
      <c r="AC96" s="162">
        <f t="shared" si="142"/>
        <v>2300</v>
      </c>
      <c r="AD96" s="163">
        <f t="shared" si="143"/>
        <v>414</v>
      </c>
      <c r="AE96" s="163">
        <f t="shared" si="144"/>
        <v>7422.833333333333</v>
      </c>
      <c r="AF96" s="163">
        <f t="shared" si="145"/>
        <v>1347.4722222222222</v>
      </c>
      <c r="AG96" s="163">
        <f t="shared" si="146"/>
        <v>402.5</v>
      </c>
      <c r="AH96" s="163">
        <f t="shared" si="147"/>
        <v>136.02777777777783</v>
      </c>
    </row>
    <row r="97" spans="1:34" ht="16.5" customHeight="1" x14ac:dyDescent="0.25">
      <c r="A97" s="17"/>
      <c r="B97" s="70" t="s">
        <v>148</v>
      </c>
      <c r="C97" s="70" t="s">
        <v>149</v>
      </c>
      <c r="D97" s="31" t="s">
        <v>73</v>
      </c>
      <c r="E97" s="31" t="s">
        <v>167</v>
      </c>
      <c r="F97" s="31">
        <v>2920</v>
      </c>
      <c r="G97" s="126">
        <v>0.35</v>
      </c>
      <c r="H97" s="12">
        <v>0</v>
      </c>
      <c r="I97" s="11">
        <v>0</v>
      </c>
      <c r="J97" s="45">
        <v>1128</v>
      </c>
      <c r="K97" s="20">
        <f t="shared" si="131"/>
        <v>62.666666666666664</v>
      </c>
      <c r="L97" s="11">
        <f>IF(+H97&gt;0,+H97*$G97,0)</f>
        <v>0</v>
      </c>
      <c r="M97" s="12">
        <f t="shared" si="132"/>
        <v>-62.666666666666664</v>
      </c>
      <c r="N97" s="54">
        <v>0</v>
      </c>
      <c r="O97" s="14">
        <v>0</v>
      </c>
      <c r="P97" s="13">
        <f t="shared" si="134"/>
        <v>0</v>
      </c>
      <c r="Q97" s="14">
        <v>1128</v>
      </c>
      <c r="R97" s="21">
        <f t="shared" si="135"/>
        <v>62.666666666666664</v>
      </c>
      <c r="S97" s="13">
        <f>IF(+O97&gt;0,+O97*$G97,0)</f>
        <v>0</v>
      </c>
      <c r="T97" s="34">
        <f t="shared" si="136"/>
        <v>-62.666666666666664</v>
      </c>
      <c r="U97" s="56">
        <v>0</v>
      </c>
      <c r="V97" s="16">
        <v>0</v>
      </c>
      <c r="W97" s="15">
        <f t="shared" si="138"/>
        <v>0</v>
      </c>
      <c r="X97" s="16">
        <v>4136.75</v>
      </c>
      <c r="Y97" s="22">
        <f t="shared" si="139"/>
        <v>229.81944444444446</v>
      </c>
      <c r="Z97" s="15">
        <f>IF(+V97&gt;0,+V97*$G97,0)</f>
        <v>0</v>
      </c>
      <c r="AA97" s="16">
        <f t="shared" si="140"/>
        <v>-229.81944444444446</v>
      </c>
      <c r="AB97" s="58">
        <v>0</v>
      </c>
      <c r="AC97" s="162">
        <f t="shared" si="142"/>
        <v>0</v>
      </c>
      <c r="AD97" s="163">
        <f t="shared" si="143"/>
        <v>0</v>
      </c>
      <c r="AE97" s="163">
        <f t="shared" si="144"/>
        <v>1754.9166666666667</v>
      </c>
      <c r="AF97" s="163">
        <f t="shared" si="145"/>
        <v>355.15277777777777</v>
      </c>
      <c r="AG97" s="163">
        <f t="shared" si="146"/>
        <v>0</v>
      </c>
      <c r="AH97" s="163">
        <f t="shared" si="147"/>
        <v>-355.15277777777777</v>
      </c>
    </row>
    <row r="98" spans="1:34" ht="16.5" customHeight="1" x14ac:dyDescent="0.25">
      <c r="A98" s="9"/>
      <c r="B98" s="70" t="s">
        <v>94</v>
      </c>
      <c r="C98" s="70" t="s">
        <v>95</v>
      </c>
      <c r="D98" s="31" t="s">
        <v>77</v>
      </c>
      <c r="E98" s="31" t="s">
        <v>167</v>
      </c>
      <c r="F98" s="31">
        <v>2936</v>
      </c>
      <c r="G98" s="126">
        <v>0.35</v>
      </c>
      <c r="H98" s="12">
        <v>0</v>
      </c>
      <c r="I98" s="11">
        <f t="shared" ref="I98:I121" si="148">+H98*$G$181</f>
        <v>0</v>
      </c>
      <c r="J98" s="45">
        <v>33451.5</v>
      </c>
      <c r="K98" s="20">
        <f t="shared" si="131"/>
        <v>1858.4166666666667</v>
      </c>
      <c r="L98" s="11">
        <f>IF(+H98&gt;=50000,0.38*H98,0.35*H98)</f>
        <v>0</v>
      </c>
      <c r="M98" s="12">
        <f t="shared" si="132"/>
        <v>-1858.4166666666667</v>
      </c>
      <c r="N98" s="54">
        <f t="shared" ref="N98:N130" si="149">IF(H98&gt;0,IF(J98&gt;0,+H98/J98,"n/m"),0)</f>
        <v>0</v>
      </c>
      <c r="O98" s="14">
        <v>0</v>
      </c>
      <c r="P98" s="35">
        <f t="shared" si="134"/>
        <v>0</v>
      </c>
      <c r="Q98" s="14">
        <v>29864.5</v>
      </c>
      <c r="R98" s="21">
        <f t="shared" si="135"/>
        <v>1659.1388888888889</v>
      </c>
      <c r="S98" s="13">
        <f>IF(+O98&gt;=50000,0.38*O98,0.35*O98)</f>
        <v>0</v>
      </c>
      <c r="T98" s="34">
        <f t="shared" si="136"/>
        <v>-1659.1388888888889</v>
      </c>
      <c r="U98" s="56">
        <f t="shared" ref="U98:U130" si="150">IF(O98&gt;0,IF(Q98&gt;0,+O98/Q98,"n/m"),0)</f>
        <v>0</v>
      </c>
      <c r="V98" s="16">
        <v>0</v>
      </c>
      <c r="W98" s="15">
        <f t="shared" si="138"/>
        <v>0</v>
      </c>
      <c r="X98" s="16">
        <v>29622</v>
      </c>
      <c r="Y98" s="22">
        <f t="shared" si="139"/>
        <v>1645.6666666666667</v>
      </c>
      <c r="Z98" s="15">
        <f>IF(+V98&gt;=50000,0.38*V98,0.35*V98)</f>
        <v>0</v>
      </c>
      <c r="AA98" s="16">
        <f t="shared" si="140"/>
        <v>-1645.6666666666667</v>
      </c>
      <c r="AB98" s="58">
        <f t="shared" ref="AB98:AB130" si="151">IF(V98&gt;0,IF(X98&gt;0,+V98/X98,"n/m"),0)</f>
        <v>0</v>
      </c>
      <c r="AC98" s="162">
        <f t="shared" si="142"/>
        <v>0</v>
      </c>
      <c r="AD98" s="163">
        <f t="shared" si="143"/>
        <v>0</v>
      </c>
      <c r="AE98" s="163">
        <f t="shared" si="144"/>
        <v>19828.833333333332</v>
      </c>
      <c r="AF98" s="163">
        <f t="shared" si="145"/>
        <v>5163.2222222222226</v>
      </c>
      <c r="AG98" s="163">
        <f t="shared" si="146"/>
        <v>0</v>
      </c>
      <c r="AH98" s="163">
        <f t="shared" si="147"/>
        <v>-5163.2222222222226</v>
      </c>
    </row>
    <row r="99" spans="1:34" ht="16.5" customHeight="1" x14ac:dyDescent="0.25">
      <c r="A99" s="9"/>
      <c r="B99" s="69" t="s">
        <v>114</v>
      </c>
      <c r="C99" s="69" t="s">
        <v>115</v>
      </c>
      <c r="D99" s="32" t="s">
        <v>80</v>
      </c>
      <c r="E99" s="31" t="s">
        <v>167</v>
      </c>
      <c r="F99" s="32" t="s">
        <v>199</v>
      </c>
      <c r="G99" s="127">
        <v>0.35</v>
      </c>
      <c r="H99" s="12">
        <v>0</v>
      </c>
      <c r="I99" s="11">
        <f t="shared" si="148"/>
        <v>0</v>
      </c>
      <c r="J99" s="45">
        <v>5147</v>
      </c>
      <c r="K99" s="20">
        <f t="shared" si="131"/>
        <v>285.94444444444446</v>
      </c>
      <c r="L99" s="11">
        <f>IF(+H99&gt;0,+H99*$G99,0)</f>
        <v>0</v>
      </c>
      <c r="M99" s="12">
        <f t="shared" si="132"/>
        <v>-285.94444444444446</v>
      </c>
      <c r="N99" s="54">
        <f t="shared" si="149"/>
        <v>0</v>
      </c>
      <c r="O99" s="14">
        <v>0</v>
      </c>
      <c r="P99" s="13">
        <f t="shared" si="134"/>
        <v>0</v>
      </c>
      <c r="Q99" s="14">
        <v>5147</v>
      </c>
      <c r="R99" s="21">
        <f t="shared" si="135"/>
        <v>285.94444444444446</v>
      </c>
      <c r="S99" s="13">
        <f>IF(+O99&gt;0,+O99*$G99,0)</f>
        <v>0</v>
      </c>
      <c r="T99" s="14">
        <f t="shared" si="136"/>
        <v>-285.94444444444446</v>
      </c>
      <c r="U99" s="56">
        <f t="shared" si="150"/>
        <v>0</v>
      </c>
      <c r="V99" s="16">
        <v>0</v>
      </c>
      <c r="W99" s="15">
        <f t="shared" si="138"/>
        <v>0</v>
      </c>
      <c r="X99" s="16">
        <v>5034.5</v>
      </c>
      <c r="Y99" s="22">
        <f t="shared" si="139"/>
        <v>279.69444444444446</v>
      </c>
      <c r="Z99" s="15">
        <f>IF(+V99&gt;0,+V99*$G99,0)</f>
        <v>0</v>
      </c>
      <c r="AA99" s="16">
        <f t="shared" si="140"/>
        <v>-279.69444444444446</v>
      </c>
      <c r="AB99" s="58">
        <f t="shared" si="151"/>
        <v>0</v>
      </c>
      <c r="AC99" s="162">
        <f t="shared" si="142"/>
        <v>0</v>
      </c>
      <c r="AD99" s="163">
        <f t="shared" si="143"/>
        <v>0</v>
      </c>
      <c r="AE99" s="163">
        <f t="shared" si="144"/>
        <v>3393.8333333333335</v>
      </c>
      <c r="AF99" s="163">
        <f t="shared" si="145"/>
        <v>851.58333333333337</v>
      </c>
      <c r="AG99" s="163">
        <f t="shared" si="146"/>
        <v>0</v>
      </c>
      <c r="AH99" s="163">
        <f t="shared" si="147"/>
        <v>-851.58333333333337</v>
      </c>
    </row>
    <row r="100" spans="1:34" ht="16.5" customHeight="1" x14ac:dyDescent="0.25">
      <c r="A100" s="9"/>
      <c r="B100" s="69" t="s">
        <v>116</v>
      </c>
      <c r="C100" s="69" t="s">
        <v>117</v>
      </c>
      <c r="D100" s="32" t="s">
        <v>80</v>
      </c>
      <c r="E100" s="31" t="s">
        <v>167</v>
      </c>
      <c r="F100" s="32">
        <v>2996</v>
      </c>
      <c r="G100" s="127">
        <v>0.35</v>
      </c>
      <c r="H100" s="12">
        <v>12500</v>
      </c>
      <c r="I100" s="11">
        <f t="shared" si="148"/>
        <v>2250</v>
      </c>
      <c r="J100" s="45">
        <v>50487</v>
      </c>
      <c r="K100" s="20">
        <f t="shared" si="131"/>
        <v>2804.8333333333335</v>
      </c>
      <c r="L100" s="11">
        <f>IF(+H100&gt;0,+H100*$G100,0)</f>
        <v>4375</v>
      </c>
      <c r="M100" s="37">
        <f t="shared" si="132"/>
        <v>3070.1666666666661</v>
      </c>
      <c r="N100" s="54">
        <f t="shared" si="149"/>
        <v>0.24758848812565612</v>
      </c>
      <c r="O100" s="14">
        <v>33700</v>
      </c>
      <c r="P100" s="13">
        <f t="shared" si="134"/>
        <v>6066</v>
      </c>
      <c r="Q100" s="14">
        <v>50880</v>
      </c>
      <c r="R100" s="21">
        <f t="shared" si="135"/>
        <v>2826.6666666666665</v>
      </c>
      <c r="S100" s="13">
        <f>IF(+O100&gt;0,+O100*$G100,0)</f>
        <v>11795</v>
      </c>
      <c r="T100" s="14">
        <f t="shared" si="136"/>
        <v>13012.333333333336</v>
      </c>
      <c r="U100" s="56">
        <f t="shared" si="150"/>
        <v>0.66234276729559749</v>
      </c>
      <c r="V100" s="16">
        <v>30595</v>
      </c>
      <c r="W100" s="15">
        <f t="shared" si="138"/>
        <v>5507.0999999999995</v>
      </c>
      <c r="X100" s="16">
        <v>50562.5</v>
      </c>
      <c r="Y100" s="22">
        <f t="shared" si="139"/>
        <v>2809.0277777777778</v>
      </c>
      <c r="Z100" s="15">
        <f>IF(+V100&gt;0,+V100*$G100,0)</f>
        <v>10708.25</v>
      </c>
      <c r="AA100" s="16">
        <f t="shared" si="140"/>
        <v>11570.622222222224</v>
      </c>
      <c r="AB100" s="58">
        <f t="shared" si="151"/>
        <v>0.60509270704573548</v>
      </c>
      <c r="AC100" s="162">
        <f t="shared" si="142"/>
        <v>76795</v>
      </c>
      <c r="AD100" s="163">
        <f t="shared" si="143"/>
        <v>13823.099999999999</v>
      </c>
      <c r="AE100" s="163">
        <f t="shared" si="144"/>
        <v>37980.833333333336</v>
      </c>
      <c r="AF100" s="163">
        <f t="shared" si="145"/>
        <v>8440.5277777777774</v>
      </c>
      <c r="AG100" s="163">
        <f t="shared" si="146"/>
        <v>26878.25</v>
      </c>
      <c r="AH100" s="163">
        <f t="shared" si="147"/>
        <v>27653.122222222228</v>
      </c>
    </row>
    <row r="101" spans="1:34" ht="16.5" customHeight="1" x14ac:dyDescent="0.25">
      <c r="A101" s="9"/>
      <c r="B101" s="69" t="s">
        <v>182</v>
      </c>
      <c r="C101" s="69" t="s">
        <v>208</v>
      </c>
      <c r="D101" s="32" t="s">
        <v>73</v>
      </c>
      <c r="E101" s="31" t="s">
        <v>167</v>
      </c>
      <c r="F101" s="32">
        <v>2380</v>
      </c>
      <c r="G101" s="129">
        <v>0.45</v>
      </c>
      <c r="H101" s="12">
        <v>0</v>
      </c>
      <c r="I101" s="11">
        <f t="shared" si="148"/>
        <v>0</v>
      </c>
      <c r="J101" s="45">
        <v>51199.8</v>
      </c>
      <c r="K101" s="20">
        <f t="shared" si="131"/>
        <v>2844.4333333333334</v>
      </c>
      <c r="L101" s="11">
        <f>IF(N101&gt;=0.25,+H101*(+$G101+0.05),+H101*$G101)</f>
        <v>0</v>
      </c>
      <c r="M101" s="37">
        <f t="shared" si="132"/>
        <v>-2844.4333333333334</v>
      </c>
      <c r="N101" s="54">
        <f t="shared" si="149"/>
        <v>0</v>
      </c>
      <c r="O101" s="14">
        <v>12652.8</v>
      </c>
      <c r="P101" s="13">
        <f t="shared" si="134"/>
        <v>2277.5039999999999</v>
      </c>
      <c r="Q101" s="14">
        <v>47811.75</v>
      </c>
      <c r="R101" s="21">
        <f t="shared" si="135"/>
        <v>2656.2083333333335</v>
      </c>
      <c r="S101" s="13">
        <f>IF(U101&gt;=0.25,+O101*(+$G101+0.05),+O101*$G101)</f>
        <v>6326.4</v>
      </c>
      <c r="T101" s="14">
        <f t="shared" si="136"/>
        <v>1392.6876666666649</v>
      </c>
      <c r="U101" s="56">
        <f t="shared" si="150"/>
        <v>0.26463787667257527</v>
      </c>
      <c r="V101" s="16">
        <v>0</v>
      </c>
      <c r="W101" s="15">
        <f t="shared" si="138"/>
        <v>0</v>
      </c>
      <c r="X101" s="16">
        <v>47258</v>
      </c>
      <c r="Y101" s="22">
        <f t="shared" si="139"/>
        <v>2625.4444444444443</v>
      </c>
      <c r="Z101" s="15">
        <f>IF(AB101&gt;=0.25,+V101*(+$G101+0.05),+V101*$G101)</f>
        <v>0</v>
      </c>
      <c r="AA101" s="16">
        <f t="shared" si="140"/>
        <v>-2625.4444444444443</v>
      </c>
      <c r="AB101" s="58">
        <f t="shared" si="151"/>
        <v>0</v>
      </c>
      <c r="AC101" s="162">
        <f t="shared" si="142"/>
        <v>12652.8</v>
      </c>
      <c r="AD101" s="163">
        <f t="shared" si="143"/>
        <v>2277.5039999999999</v>
      </c>
      <c r="AE101" s="163">
        <f t="shared" si="144"/>
        <v>31689.916666666668</v>
      </c>
      <c r="AF101" s="163">
        <f t="shared" si="145"/>
        <v>8126.0861111111108</v>
      </c>
      <c r="AG101" s="163">
        <f t="shared" si="146"/>
        <v>6326.4</v>
      </c>
      <c r="AH101" s="163">
        <f t="shared" si="147"/>
        <v>-4077.1901111111119</v>
      </c>
    </row>
    <row r="102" spans="1:34" ht="16.5" customHeight="1" x14ac:dyDescent="0.25">
      <c r="A102" s="9"/>
      <c r="B102" s="69" t="s">
        <v>191</v>
      </c>
      <c r="C102" s="69" t="s">
        <v>192</v>
      </c>
      <c r="D102" s="32" t="s">
        <v>80</v>
      </c>
      <c r="E102" s="31" t="s">
        <v>167</v>
      </c>
      <c r="F102" s="32">
        <v>2519</v>
      </c>
      <c r="G102" s="127">
        <v>0.35</v>
      </c>
      <c r="H102" s="12">
        <v>28813</v>
      </c>
      <c r="I102" s="11">
        <f t="shared" si="148"/>
        <v>5186.34</v>
      </c>
      <c r="J102" s="45">
        <v>183089.8</v>
      </c>
      <c r="K102" s="20">
        <f t="shared" si="131"/>
        <v>10171.655555555555</v>
      </c>
      <c r="L102" s="11">
        <f>IF(+H102&gt;=45000,0.4*H102,0.35*H102)</f>
        <v>10084.549999999999</v>
      </c>
      <c r="M102" s="37">
        <f t="shared" si="132"/>
        <v>3370.4544444444437</v>
      </c>
      <c r="N102" s="54">
        <f t="shared" si="149"/>
        <v>0.15737086391486582</v>
      </c>
      <c r="O102" s="14">
        <v>11190</v>
      </c>
      <c r="P102" s="13">
        <f t="shared" si="134"/>
        <v>2014.1999999999998</v>
      </c>
      <c r="Q102" s="14">
        <v>191587.5</v>
      </c>
      <c r="R102" s="21">
        <f t="shared" si="135"/>
        <v>10643.75</v>
      </c>
      <c r="S102" s="13">
        <f>IF(+O102&gt;=45000,0.4*O102,0.35*O102)</f>
        <v>3916.4999999999995</v>
      </c>
      <c r="T102" s="14">
        <f t="shared" si="136"/>
        <v>-5384.4500000000007</v>
      </c>
      <c r="U102" s="56">
        <f t="shared" si="150"/>
        <v>5.8406733215893521E-2</v>
      </c>
      <c r="V102" s="16">
        <v>14280</v>
      </c>
      <c r="W102" s="15">
        <f t="shared" si="138"/>
        <v>2570.4</v>
      </c>
      <c r="X102" s="16">
        <v>159357</v>
      </c>
      <c r="Y102" s="22">
        <f t="shared" si="139"/>
        <v>8853.1666666666661</v>
      </c>
      <c r="Z102" s="15">
        <f>IF(+V102&gt;=45000,0.4*V102,0.35*V102)</f>
        <v>4998</v>
      </c>
      <c r="AA102" s="16">
        <f t="shared" si="140"/>
        <v>-2141.5666666666657</v>
      </c>
      <c r="AB102" s="58">
        <f t="shared" si="151"/>
        <v>8.9610120672452415E-2</v>
      </c>
      <c r="AC102" s="162">
        <f t="shared" si="142"/>
        <v>54283</v>
      </c>
      <c r="AD102" s="163">
        <f t="shared" si="143"/>
        <v>9770.94</v>
      </c>
      <c r="AE102" s="163">
        <f t="shared" si="144"/>
        <v>126585.83333333333</v>
      </c>
      <c r="AF102" s="163">
        <f t="shared" si="145"/>
        <v>29668.572222222218</v>
      </c>
      <c r="AG102" s="163">
        <f t="shared" si="146"/>
        <v>18999.05</v>
      </c>
      <c r="AH102" s="163">
        <f t="shared" si="147"/>
        <v>-4155.5622222222191</v>
      </c>
    </row>
    <row r="103" spans="1:34" ht="16.5" customHeight="1" x14ac:dyDescent="0.25">
      <c r="A103" s="9"/>
      <c r="B103" s="69" t="s">
        <v>197</v>
      </c>
      <c r="C103" s="69" t="s">
        <v>198</v>
      </c>
      <c r="D103" s="32" t="s">
        <v>73</v>
      </c>
      <c r="E103" s="31" t="s">
        <v>167</v>
      </c>
      <c r="F103" s="32">
        <v>2404</v>
      </c>
      <c r="G103" s="127">
        <v>0.35</v>
      </c>
      <c r="H103" s="12">
        <v>17050</v>
      </c>
      <c r="I103" s="11">
        <f t="shared" si="148"/>
        <v>3069</v>
      </c>
      <c r="J103" s="45">
        <v>42973</v>
      </c>
      <c r="K103" s="20">
        <f t="shared" si="131"/>
        <v>2387.3888888888887</v>
      </c>
      <c r="L103" s="11">
        <f>IF(+H103&gt;0,+H103*$G103,0)</f>
        <v>5967.5</v>
      </c>
      <c r="M103" s="37">
        <f t="shared" si="132"/>
        <v>5626.1111111111113</v>
      </c>
      <c r="N103" s="54">
        <f t="shared" si="149"/>
        <v>0.39676075675424105</v>
      </c>
      <c r="O103" s="14">
        <v>10975</v>
      </c>
      <c r="P103" s="13">
        <f t="shared" si="134"/>
        <v>1975.5</v>
      </c>
      <c r="Q103" s="14">
        <v>70702.5</v>
      </c>
      <c r="R103" s="21">
        <f t="shared" si="135"/>
        <v>3927.9166666666665</v>
      </c>
      <c r="S103" s="13">
        <f>IF(+O103&gt;0,+O103*$G103,0)</f>
        <v>3841.2499999999995</v>
      </c>
      <c r="T103" s="14">
        <f t="shared" si="136"/>
        <v>1230.3333333333339</v>
      </c>
      <c r="U103" s="56">
        <f t="shared" si="150"/>
        <v>0.15522789151727309</v>
      </c>
      <c r="V103" s="16">
        <v>2160</v>
      </c>
      <c r="W103" s="15">
        <f t="shared" si="138"/>
        <v>388.8</v>
      </c>
      <c r="X103" s="16">
        <v>29247.5</v>
      </c>
      <c r="Y103" s="22">
        <f t="shared" si="139"/>
        <v>1624.8611111111111</v>
      </c>
      <c r="Z103" s="15">
        <f>IF(+V103&gt;0,+V103*$G103,0)</f>
        <v>756</v>
      </c>
      <c r="AA103" s="16">
        <f t="shared" si="140"/>
        <v>-609.6611111111115</v>
      </c>
      <c r="AB103" s="58">
        <f t="shared" si="151"/>
        <v>7.3852466022736984E-2</v>
      </c>
      <c r="AC103" s="162">
        <f t="shared" si="142"/>
        <v>30185</v>
      </c>
      <c r="AD103" s="163">
        <f t="shared" si="143"/>
        <v>5433.3</v>
      </c>
      <c r="AE103" s="163">
        <f t="shared" si="144"/>
        <v>39000</v>
      </c>
      <c r="AF103" s="163">
        <f t="shared" si="145"/>
        <v>7940.1666666666661</v>
      </c>
      <c r="AG103" s="163">
        <f t="shared" si="146"/>
        <v>10564.75</v>
      </c>
      <c r="AH103" s="163">
        <f t="shared" si="147"/>
        <v>6246.7833333333328</v>
      </c>
    </row>
    <row r="104" spans="1:34" ht="16.5" customHeight="1" x14ac:dyDescent="0.25">
      <c r="A104" s="9"/>
      <c r="B104" s="69" t="s">
        <v>202</v>
      </c>
      <c r="C104" s="69" t="s">
        <v>203</v>
      </c>
      <c r="D104" s="32" t="s">
        <v>73</v>
      </c>
      <c r="E104" s="31" t="s">
        <v>167</v>
      </c>
      <c r="F104" s="32">
        <v>2408</v>
      </c>
      <c r="G104" s="129">
        <v>0.4</v>
      </c>
      <c r="H104" s="12">
        <v>34444.400000000001</v>
      </c>
      <c r="I104" s="11">
        <f t="shared" si="148"/>
        <v>6199.9920000000002</v>
      </c>
      <c r="J104" s="45">
        <v>106948</v>
      </c>
      <c r="K104" s="20">
        <f t="shared" si="131"/>
        <v>5941.5555555555557</v>
      </c>
      <c r="L104" s="11">
        <f>+H104*0.4</f>
        <v>13777.760000000002</v>
      </c>
      <c r="M104" s="37">
        <f t="shared" si="132"/>
        <v>8525.0924444444463</v>
      </c>
      <c r="N104" s="54">
        <f t="shared" si="149"/>
        <v>0.32206679881811723</v>
      </c>
      <c r="O104" s="14">
        <v>12080</v>
      </c>
      <c r="P104" s="13">
        <f t="shared" si="134"/>
        <v>2174.4</v>
      </c>
      <c r="Q104" s="14">
        <v>97585.25</v>
      </c>
      <c r="R104" s="21">
        <f t="shared" si="135"/>
        <v>5421.4027777777774</v>
      </c>
      <c r="S104" s="13">
        <f>+O104*0.4</f>
        <v>4832</v>
      </c>
      <c r="T104" s="14">
        <f t="shared" si="136"/>
        <v>-347.80277777777701</v>
      </c>
      <c r="U104" s="56">
        <f t="shared" si="150"/>
        <v>0.12378919969974971</v>
      </c>
      <c r="V104" s="16">
        <v>14704</v>
      </c>
      <c r="W104" s="15">
        <f t="shared" si="138"/>
        <v>2646.72</v>
      </c>
      <c r="X104" s="16">
        <v>66155.25</v>
      </c>
      <c r="Y104" s="22">
        <f t="shared" si="139"/>
        <v>3675.2916666666665</v>
      </c>
      <c r="Z104" s="15">
        <f>+V104*0.4</f>
        <v>5881.6</v>
      </c>
      <c r="AA104" s="16">
        <f t="shared" si="140"/>
        <v>2500.3883333333342</v>
      </c>
      <c r="AB104" s="58">
        <f t="shared" si="151"/>
        <v>0.22226505077072492</v>
      </c>
      <c r="AC104" s="162">
        <f t="shared" si="142"/>
        <v>61228.4</v>
      </c>
      <c r="AD104" s="163">
        <f t="shared" si="143"/>
        <v>11021.111999999999</v>
      </c>
      <c r="AE104" s="163">
        <f t="shared" si="144"/>
        <v>66061.633333333331</v>
      </c>
      <c r="AF104" s="163">
        <f t="shared" si="145"/>
        <v>15038.249999999998</v>
      </c>
      <c r="AG104" s="163">
        <f t="shared" si="146"/>
        <v>24491.360000000001</v>
      </c>
      <c r="AH104" s="163">
        <f t="shared" si="147"/>
        <v>10677.678</v>
      </c>
    </row>
    <row r="105" spans="1:34" ht="16.5" customHeight="1" x14ac:dyDescent="0.25">
      <c r="A105" s="9"/>
      <c r="B105" s="69" t="s">
        <v>211</v>
      </c>
      <c r="C105" s="69" t="s">
        <v>212</v>
      </c>
      <c r="D105" s="32" t="s">
        <v>73</v>
      </c>
      <c r="E105" s="31" t="s">
        <v>167</v>
      </c>
      <c r="F105" s="32">
        <v>2343</v>
      </c>
      <c r="G105" s="129">
        <v>0.45</v>
      </c>
      <c r="H105" s="12">
        <v>173394</v>
      </c>
      <c r="I105" s="11">
        <f t="shared" si="148"/>
        <v>31210.92</v>
      </c>
      <c r="J105" s="45">
        <v>457346.9</v>
      </c>
      <c r="K105" s="20">
        <f t="shared" si="131"/>
        <v>25408.161111111112</v>
      </c>
      <c r="L105" s="11">
        <f>+H105*0.5</f>
        <v>86697</v>
      </c>
      <c r="M105" s="37">
        <f t="shared" si="132"/>
        <v>30077.918888888904</v>
      </c>
      <c r="N105" s="54">
        <f t="shared" si="149"/>
        <v>0.37913015262593885</v>
      </c>
      <c r="O105" s="14">
        <v>162691.59999999998</v>
      </c>
      <c r="P105" s="13">
        <f t="shared" si="134"/>
        <v>29284.487999999994</v>
      </c>
      <c r="Q105" s="14">
        <v>399659.25</v>
      </c>
      <c r="R105" s="21">
        <f t="shared" si="135"/>
        <v>22203.291666666668</v>
      </c>
      <c r="S105" s="13">
        <f>+O105*0.5</f>
        <v>81345.799999999988</v>
      </c>
      <c r="T105" s="14">
        <f t="shared" si="136"/>
        <v>29858.020333333319</v>
      </c>
      <c r="U105" s="56">
        <f t="shared" si="150"/>
        <v>0.40707577767810948</v>
      </c>
      <c r="V105" s="16">
        <v>163384.79999999999</v>
      </c>
      <c r="W105" s="15">
        <f t="shared" si="138"/>
        <v>29409.263999999996</v>
      </c>
      <c r="X105" s="16">
        <v>404160</v>
      </c>
      <c r="Y105" s="22">
        <f t="shared" si="139"/>
        <v>22453.333333333332</v>
      </c>
      <c r="Z105" s="15">
        <f>+V105*0.5</f>
        <v>81692.399999999994</v>
      </c>
      <c r="AA105" s="16">
        <f t="shared" si="140"/>
        <v>29829.802666666685</v>
      </c>
      <c r="AB105" s="58">
        <f t="shared" si="151"/>
        <v>0.40425771971496433</v>
      </c>
      <c r="AC105" s="162">
        <f t="shared" si="142"/>
        <v>499470.39999999997</v>
      </c>
      <c r="AD105" s="163">
        <f t="shared" si="143"/>
        <v>89904.671999999991</v>
      </c>
      <c r="AE105" s="163">
        <f t="shared" si="144"/>
        <v>325737.75</v>
      </c>
      <c r="AF105" s="163">
        <f t="shared" si="145"/>
        <v>70064.786111111112</v>
      </c>
      <c r="AG105" s="163">
        <f t="shared" si="146"/>
        <v>249735.19999999998</v>
      </c>
      <c r="AH105" s="163">
        <f t="shared" si="147"/>
        <v>89765.741888888908</v>
      </c>
    </row>
    <row r="106" spans="1:34" ht="16.5" customHeight="1" x14ac:dyDescent="0.25">
      <c r="A106" s="9"/>
      <c r="B106" s="69" t="s">
        <v>217</v>
      </c>
      <c r="C106" s="69" t="s">
        <v>218</v>
      </c>
      <c r="D106" s="32" t="s">
        <v>80</v>
      </c>
      <c r="E106" s="31" t="s">
        <v>167</v>
      </c>
      <c r="F106" s="32">
        <v>2988</v>
      </c>
      <c r="G106" s="127">
        <v>0.3</v>
      </c>
      <c r="H106" s="12">
        <v>28160</v>
      </c>
      <c r="I106" s="11">
        <f t="shared" si="148"/>
        <v>5068.8</v>
      </c>
      <c r="J106" s="45">
        <v>132669.79999999999</v>
      </c>
      <c r="K106" s="20">
        <f t="shared" si="131"/>
        <v>7370.5444444444438</v>
      </c>
      <c r="L106" s="11">
        <f>IF(+H106&gt;=50000,0.35*H106,0.3*H106)</f>
        <v>8448</v>
      </c>
      <c r="M106" s="37">
        <f t="shared" si="132"/>
        <v>7272.6555555555569</v>
      </c>
      <c r="N106" s="54">
        <f t="shared" si="149"/>
        <v>0.2122562934443257</v>
      </c>
      <c r="O106" s="14">
        <v>42740</v>
      </c>
      <c r="P106" s="13">
        <f t="shared" si="134"/>
        <v>7693.2</v>
      </c>
      <c r="Q106" s="14">
        <v>179628.25</v>
      </c>
      <c r="R106" s="21">
        <f t="shared" si="135"/>
        <v>9979.3472222222226</v>
      </c>
      <c r="S106" s="13">
        <f>IF(+O106&gt;=50000,0.35*O106,0.3*O106)</f>
        <v>12822</v>
      </c>
      <c r="T106" s="14">
        <f t="shared" si="136"/>
        <v>12245.452777777777</v>
      </c>
      <c r="U106" s="56">
        <f t="shared" si="150"/>
        <v>0.23793584806398771</v>
      </c>
      <c r="V106" s="16">
        <v>13680</v>
      </c>
      <c r="W106" s="15">
        <f t="shared" si="138"/>
        <v>2462.4</v>
      </c>
      <c r="X106" s="16">
        <v>148105.75</v>
      </c>
      <c r="Y106" s="22">
        <f t="shared" si="139"/>
        <v>8228.0972222222226</v>
      </c>
      <c r="Z106" s="15">
        <f>IF(+V106&gt;=40000,0.35*V106,0.3*V106)</f>
        <v>4104</v>
      </c>
      <c r="AA106" s="16">
        <f t="shared" si="140"/>
        <v>-1114.4972222222223</v>
      </c>
      <c r="AB106" s="58">
        <f t="shared" si="151"/>
        <v>9.2366434118864388E-2</v>
      </c>
      <c r="AC106" s="162">
        <f t="shared" si="142"/>
        <v>84580</v>
      </c>
      <c r="AD106" s="163">
        <f t="shared" si="143"/>
        <v>15224.4</v>
      </c>
      <c r="AE106" s="163">
        <f t="shared" si="144"/>
        <v>118631.33333333333</v>
      </c>
      <c r="AF106" s="163">
        <f t="shared" si="145"/>
        <v>25577.988888888889</v>
      </c>
      <c r="AG106" s="163">
        <f t="shared" si="146"/>
        <v>25374</v>
      </c>
      <c r="AH106" s="163">
        <f t="shared" si="147"/>
        <v>18403.611111111117</v>
      </c>
    </row>
    <row r="107" spans="1:34" ht="16.5" customHeight="1" x14ac:dyDescent="0.25">
      <c r="A107" s="9"/>
      <c r="B107" s="69" t="s">
        <v>219</v>
      </c>
      <c r="C107" s="69" t="s">
        <v>220</v>
      </c>
      <c r="D107" s="32" t="s">
        <v>80</v>
      </c>
      <c r="E107" s="31" t="s">
        <v>167</v>
      </c>
      <c r="F107" s="32">
        <v>2420</v>
      </c>
      <c r="G107" s="129">
        <v>0.3</v>
      </c>
      <c r="H107" s="12">
        <v>0</v>
      </c>
      <c r="I107" s="11">
        <f t="shared" si="148"/>
        <v>0</v>
      </c>
      <c r="J107" s="45">
        <v>2445</v>
      </c>
      <c r="K107" s="20">
        <f t="shared" si="131"/>
        <v>135.83333333333334</v>
      </c>
      <c r="L107" s="11"/>
      <c r="M107" s="37">
        <f t="shared" si="132"/>
        <v>-135.83333333333334</v>
      </c>
      <c r="N107" s="54">
        <f t="shared" si="149"/>
        <v>0</v>
      </c>
      <c r="O107" s="14">
        <v>0</v>
      </c>
      <c r="P107" s="13">
        <f t="shared" si="134"/>
        <v>0</v>
      </c>
      <c r="Q107" s="14">
        <v>2445</v>
      </c>
      <c r="R107" s="21">
        <f t="shared" si="135"/>
        <v>135.83333333333334</v>
      </c>
      <c r="S107" s="13"/>
      <c r="T107" s="14">
        <f t="shared" si="136"/>
        <v>-135.83333333333334</v>
      </c>
      <c r="U107" s="56">
        <f t="shared" si="150"/>
        <v>0</v>
      </c>
      <c r="V107" s="16">
        <v>0</v>
      </c>
      <c r="W107" s="15">
        <f t="shared" si="138"/>
        <v>0</v>
      </c>
      <c r="X107" s="16">
        <v>2445</v>
      </c>
      <c r="Y107" s="22">
        <f t="shared" si="139"/>
        <v>135.83333333333334</v>
      </c>
      <c r="Z107" s="15"/>
      <c r="AA107" s="16">
        <f t="shared" si="140"/>
        <v>-135.83333333333334</v>
      </c>
      <c r="AB107" s="58">
        <f t="shared" si="151"/>
        <v>0</v>
      </c>
      <c r="AC107" s="162">
        <f t="shared" si="142"/>
        <v>0</v>
      </c>
      <c r="AD107" s="163">
        <f t="shared" si="143"/>
        <v>0</v>
      </c>
      <c r="AE107" s="163">
        <f t="shared" si="144"/>
        <v>1630</v>
      </c>
      <c r="AF107" s="163">
        <f t="shared" si="145"/>
        <v>407.5</v>
      </c>
      <c r="AG107" s="163">
        <f t="shared" si="146"/>
        <v>0</v>
      </c>
      <c r="AH107" s="163">
        <f t="shared" si="147"/>
        <v>-407.5</v>
      </c>
    </row>
    <row r="108" spans="1:34" ht="16.5" customHeight="1" x14ac:dyDescent="0.25">
      <c r="A108" s="9"/>
      <c r="B108" s="69" t="s">
        <v>221</v>
      </c>
      <c r="C108" s="69" t="s">
        <v>222</v>
      </c>
      <c r="D108" s="32" t="s">
        <v>80</v>
      </c>
      <c r="E108" s="31" t="s">
        <v>167</v>
      </c>
      <c r="F108" s="32">
        <v>2416</v>
      </c>
      <c r="G108" s="129">
        <v>0.4</v>
      </c>
      <c r="H108" s="12">
        <v>6500</v>
      </c>
      <c r="I108" s="11">
        <f t="shared" si="148"/>
        <v>1170</v>
      </c>
      <c r="J108" s="45">
        <v>49863.6</v>
      </c>
      <c r="K108" s="20">
        <f t="shared" si="131"/>
        <v>2770.2</v>
      </c>
      <c r="L108" s="11">
        <f>+H108*0.4</f>
        <v>2600</v>
      </c>
      <c r="M108" s="37">
        <f t="shared" si="132"/>
        <v>-40.199999999999818</v>
      </c>
      <c r="N108" s="54">
        <f t="shared" si="149"/>
        <v>0.13035561010436472</v>
      </c>
      <c r="O108" s="14">
        <v>3144</v>
      </c>
      <c r="P108" s="13">
        <f t="shared" si="134"/>
        <v>565.91999999999996</v>
      </c>
      <c r="Q108" s="14">
        <v>33532.5</v>
      </c>
      <c r="R108" s="21">
        <f t="shared" si="135"/>
        <v>1862.9166666666667</v>
      </c>
      <c r="S108" s="13">
        <f>+O108*0.4</f>
        <v>1257.6000000000001</v>
      </c>
      <c r="T108" s="14">
        <f t="shared" si="136"/>
        <v>-542.43666666666695</v>
      </c>
      <c r="U108" s="56">
        <f t="shared" si="150"/>
        <v>9.3759785282934466E-2</v>
      </c>
      <c r="V108" s="16">
        <v>8538</v>
      </c>
      <c r="W108" s="15">
        <f t="shared" si="138"/>
        <v>1536.84</v>
      </c>
      <c r="X108" s="16">
        <v>60009.5</v>
      </c>
      <c r="Y108" s="22">
        <f t="shared" si="139"/>
        <v>3333.8611111111113</v>
      </c>
      <c r="Z108" s="15">
        <f>+V108*0.4</f>
        <v>3415.2000000000003</v>
      </c>
      <c r="AA108" s="16">
        <f t="shared" si="140"/>
        <v>252.09888888888781</v>
      </c>
      <c r="AB108" s="58">
        <f t="shared" si="151"/>
        <v>0.14227747273348387</v>
      </c>
      <c r="AC108" s="162">
        <f t="shared" si="142"/>
        <v>18182</v>
      </c>
      <c r="AD108" s="163">
        <f t="shared" si="143"/>
        <v>3272.76</v>
      </c>
      <c r="AE108" s="163">
        <f t="shared" si="144"/>
        <v>33347.333333333336</v>
      </c>
      <c r="AF108" s="163">
        <f t="shared" si="145"/>
        <v>7966.9777777777781</v>
      </c>
      <c r="AG108" s="163">
        <f t="shared" si="146"/>
        <v>7272.8000000000011</v>
      </c>
      <c r="AH108" s="163">
        <f t="shared" si="147"/>
        <v>-330.53777777777941</v>
      </c>
    </row>
    <row r="109" spans="1:34" ht="16.5" customHeight="1" x14ac:dyDescent="0.25">
      <c r="A109" s="9"/>
      <c r="B109" s="69" t="s">
        <v>230</v>
      </c>
      <c r="C109" s="69" t="s">
        <v>231</v>
      </c>
      <c r="D109" s="32" t="s">
        <v>73</v>
      </c>
      <c r="E109" s="31" t="s">
        <v>167</v>
      </c>
      <c r="F109" s="32">
        <v>2421</v>
      </c>
      <c r="G109" s="129">
        <v>0.4</v>
      </c>
      <c r="H109" s="12">
        <v>0</v>
      </c>
      <c r="I109" s="11">
        <f t="shared" si="148"/>
        <v>0</v>
      </c>
      <c r="J109" s="45">
        <v>2331</v>
      </c>
      <c r="K109" s="20">
        <f t="shared" ref="K109" si="152">J109/18</f>
        <v>129.5</v>
      </c>
      <c r="L109" s="11"/>
      <c r="M109" s="37">
        <f t="shared" ref="M109" si="153">H109-(K109+L109+I109)</f>
        <v>-129.5</v>
      </c>
      <c r="N109" s="54">
        <f t="shared" ref="N109" si="154">IF(H109&gt;0,IF(J109&gt;0,+H109/J109,"n/m"),0)</f>
        <v>0</v>
      </c>
      <c r="O109" s="14">
        <v>0</v>
      </c>
      <c r="P109" s="13">
        <f t="shared" si="134"/>
        <v>0</v>
      </c>
      <c r="Q109" s="14">
        <v>2331</v>
      </c>
      <c r="R109" s="21">
        <f t="shared" ref="R109" si="155">Q109/18</f>
        <v>129.5</v>
      </c>
      <c r="S109" s="13"/>
      <c r="T109" s="14">
        <f t="shared" ref="T109" si="156">O109-(R109+S109+P109)</f>
        <v>-129.5</v>
      </c>
      <c r="U109" s="56">
        <f t="shared" ref="U109" si="157">IF(O109&gt;0,IF(Q109&gt;0,+O109/Q109,"n/m"),0)</f>
        <v>0</v>
      </c>
      <c r="V109" s="16">
        <v>0</v>
      </c>
      <c r="W109" s="15">
        <f t="shared" si="138"/>
        <v>0</v>
      </c>
      <c r="X109" s="16">
        <v>2319.75</v>
      </c>
      <c r="Y109" s="22">
        <f t="shared" ref="Y109" si="158">X109/18</f>
        <v>128.875</v>
      </c>
      <c r="Z109" s="15"/>
      <c r="AA109" s="16">
        <f t="shared" ref="AA109" si="159">V109-(Y109+Z109+W109)</f>
        <v>-128.875</v>
      </c>
      <c r="AB109" s="58">
        <f t="shared" ref="AB109" si="160">IF(V109&gt;0,IF(X109&gt;0,+V109/X109,"n/m"),0)</f>
        <v>0</v>
      </c>
      <c r="AC109" s="162">
        <f t="shared" si="142"/>
        <v>0</v>
      </c>
      <c r="AD109" s="163">
        <f t="shared" si="143"/>
        <v>0</v>
      </c>
      <c r="AE109" s="163">
        <f t="shared" si="144"/>
        <v>1550.25</v>
      </c>
      <c r="AF109" s="163">
        <f t="shared" si="145"/>
        <v>387.875</v>
      </c>
      <c r="AG109" s="163">
        <f t="shared" si="146"/>
        <v>0</v>
      </c>
      <c r="AH109" s="163">
        <f t="shared" si="147"/>
        <v>-387.875</v>
      </c>
    </row>
    <row r="110" spans="1:34" ht="16.5" customHeight="1" x14ac:dyDescent="0.25">
      <c r="A110" s="9"/>
      <c r="B110" s="69" t="s">
        <v>289</v>
      </c>
      <c r="C110" s="69" t="s">
        <v>290</v>
      </c>
      <c r="D110" s="32" t="s">
        <v>71</v>
      </c>
      <c r="E110" s="31" t="s">
        <v>167</v>
      </c>
      <c r="F110" s="32">
        <v>2430</v>
      </c>
      <c r="G110" s="127">
        <v>0.35</v>
      </c>
      <c r="H110" s="12">
        <v>0</v>
      </c>
      <c r="I110" s="11">
        <f t="shared" si="148"/>
        <v>0</v>
      </c>
      <c r="J110" s="45">
        <v>1449</v>
      </c>
      <c r="K110" s="20">
        <f t="shared" si="131"/>
        <v>80.5</v>
      </c>
      <c r="L110" s="11">
        <f>IF(+H110&gt;=50000,0.4*H110,0.35*H110)</f>
        <v>0</v>
      </c>
      <c r="M110" s="37">
        <f t="shared" si="132"/>
        <v>-80.5</v>
      </c>
      <c r="N110" s="54">
        <f t="shared" si="149"/>
        <v>0</v>
      </c>
      <c r="O110" s="14">
        <v>0</v>
      </c>
      <c r="P110" s="13">
        <f t="shared" si="134"/>
        <v>0</v>
      </c>
      <c r="Q110" s="14">
        <v>1449</v>
      </c>
      <c r="R110" s="21">
        <f t="shared" si="135"/>
        <v>80.5</v>
      </c>
      <c r="S110" s="13">
        <f>IF(+O110&gt;=50000,0.4*O110,0.35*O110)</f>
        <v>0</v>
      </c>
      <c r="T110" s="14">
        <f t="shared" si="136"/>
        <v>-80.5</v>
      </c>
      <c r="U110" s="56">
        <f t="shared" si="150"/>
        <v>0</v>
      </c>
      <c r="V110" s="16">
        <v>0</v>
      </c>
      <c r="W110" s="15">
        <f t="shared" si="138"/>
        <v>0</v>
      </c>
      <c r="X110" s="16">
        <v>1449</v>
      </c>
      <c r="Y110" s="22">
        <f t="shared" si="139"/>
        <v>80.5</v>
      </c>
      <c r="Z110" s="15">
        <f>IF(+V110&gt;=50000,0.4*V110,0.35*V110)</f>
        <v>0</v>
      </c>
      <c r="AA110" s="16">
        <f t="shared" si="140"/>
        <v>-80.5</v>
      </c>
      <c r="AB110" s="58">
        <f t="shared" si="151"/>
        <v>0</v>
      </c>
      <c r="AC110" s="162">
        <f t="shared" si="142"/>
        <v>0</v>
      </c>
      <c r="AD110" s="163">
        <f t="shared" si="143"/>
        <v>0</v>
      </c>
      <c r="AE110" s="163">
        <f t="shared" si="144"/>
        <v>966</v>
      </c>
      <c r="AF110" s="163">
        <f t="shared" si="145"/>
        <v>241.5</v>
      </c>
      <c r="AG110" s="163">
        <f t="shared" si="146"/>
        <v>0</v>
      </c>
      <c r="AH110" s="163">
        <f t="shared" si="147"/>
        <v>-241.5</v>
      </c>
    </row>
    <row r="111" spans="1:34" ht="16.5" customHeight="1" x14ac:dyDescent="0.25">
      <c r="A111" s="9"/>
      <c r="B111" s="69" t="s">
        <v>298</v>
      </c>
      <c r="C111" s="69" t="s">
        <v>299</v>
      </c>
      <c r="D111" s="32" t="s">
        <v>73</v>
      </c>
      <c r="E111" s="31" t="s">
        <v>167</v>
      </c>
      <c r="F111" s="32">
        <v>2476</v>
      </c>
      <c r="G111" s="127">
        <v>0.35</v>
      </c>
      <c r="H111" s="12">
        <v>1877.2</v>
      </c>
      <c r="I111" s="11">
        <f t="shared" si="148"/>
        <v>337.89600000000002</v>
      </c>
      <c r="J111" s="45">
        <v>58053.2</v>
      </c>
      <c r="K111" s="20">
        <f t="shared" si="131"/>
        <v>3225.1777777777775</v>
      </c>
      <c r="L111" s="11">
        <f>IF(N111&gt;=0.25,+H111*(+$G111+0.05),+H111*$G111)</f>
        <v>657.02</v>
      </c>
      <c r="M111" s="37">
        <f t="shared" si="132"/>
        <v>-2342.8937777777774</v>
      </c>
      <c r="N111" s="54">
        <f t="shared" si="149"/>
        <v>3.2335857454886208E-2</v>
      </c>
      <c r="O111" s="14">
        <v>22122</v>
      </c>
      <c r="P111" s="13">
        <f t="shared" si="134"/>
        <v>3981.96</v>
      </c>
      <c r="Q111" s="14">
        <v>26251.25</v>
      </c>
      <c r="R111" s="21">
        <f t="shared" si="135"/>
        <v>1458.4027777777778</v>
      </c>
      <c r="S111" s="13">
        <f>IF(U111&gt;=0.25,+O111*(+$G111+0.05),+O111*$G111)</f>
        <v>8848.7999999999993</v>
      </c>
      <c r="T111" s="14">
        <f t="shared" si="136"/>
        <v>7832.8372222222242</v>
      </c>
      <c r="U111" s="56">
        <f t="shared" si="150"/>
        <v>0.84270272844150274</v>
      </c>
      <c r="V111" s="16">
        <v>0</v>
      </c>
      <c r="W111" s="15">
        <f t="shared" si="138"/>
        <v>0</v>
      </c>
      <c r="X111" s="16">
        <v>12507.25</v>
      </c>
      <c r="Y111" s="22">
        <f t="shared" si="139"/>
        <v>694.84722222222217</v>
      </c>
      <c r="Z111" s="15">
        <f>IF(AB111&gt;=0.25,+V111*(+$G111+0.05),+V111*$G111)</f>
        <v>0</v>
      </c>
      <c r="AA111" s="16">
        <f t="shared" si="140"/>
        <v>-694.84722222222217</v>
      </c>
      <c r="AB111" s="58">
        <f t="shared" si="151"/>
        <v>0</v>
      </c>
      <c r="AC111" s="162">
        <f t="shared" si="142"/>
        <v>23999.200000000001</v>
      </c>
      <c r="AD111" s="163">
        <f t="shared" si="143"/>
        <v>4319.8559999999998</v>
      </c>
      <c r="AE111" s="163">
        <f t="shared" si="144"/>
        <v>13545.233333333332</v>
      </c>
      <c r="AF111" s="163">
        <f t="shared" si="145"/>
        <v>5378.427777777777</v>
      </c>
      <c r="AG111" s="163">
        <f t="shared" si="146"/>
        <v>9505.82</v>
      </c>
      <c r="AH111" s="163">
        <f t="shared" si="147"/>
        <v>4795.0962222222242</v>
      </c>
    </row>
    <row r="112" spans="1:34" ht="16.5" customHeight="1" x14ac:dyDescent="0.25">
      <c r="A112" s="9"/>
      <c r="B112" s="69" t="s">
        <v>301</v>
      </c>
      <c r="C112" s="69" t="s">
        <v>300</v>
      </c>
      <c r="D112" s="32" t="s">
        <v>73</v>
      </c>
      <c r="E112" s="31" t="s">
        <v>167</v>
      </c>
      <c r="F112" s="32">
        <v>2480</v>
      </c>
      <c r="G112" s="127">
        <v>0.35</v>
      </c>
      <c r="H112" s="12">
        <v>1880</v>
      </c>
      <c r="I112" s="11">
        <f t="shared" si="148"/>
        <v>338.4</v>
      </c>
      <c r="J112" s="45">
        <v>12176</v>
      </c>
      <c r="K112" s="20">
        <f t="shared" si="131"/>
        <v>676.44444444444446</v>
      </c>
      <c r="L112" s="11">
        <f>IF(+H112&gt;=60000,0.4*H112,0.35*H112)</f>
        <v>658</v>
      </c>
      <c r="M112" s="37">
        <f t="shared" si="132"/>
        <v>207.15555555555557</v>
      </c>
      <c r="N112" s="54">
        <f t="shared" si="149"/>
        <v>0.15440210249671485</v>
      </c>
      <c r="O112" s="14">
        <v>5750</v>
      </c>
      <c r="P112" s="13">
        <f t="shared" si="134"/>
        <v>1035</v>
      </c>
      <c r="Q112" s="14">
        <v>10667</v>
      </c>
      <c r="R112" s="21">
        <f t="shared" si="135"/>
        <v>592.61111111111109</v>
      </c>
      <c r="S112" s="13">
        <f>IF(+O112&gt;=60000,0.4*O112,0.35*O112)</f>
        <v>2012.4999999999998</v>
      </c>
      <c r="T112" s="14">
        <f t="shared" si="136"/>
        <v>2109.8888888888891</v>
      </c>
      <c r="U112" s="56">
        <f t="shared" si="150"/>
        <v>0.53904565482328681</v>
      </c>
      <c r="V112" s="16">
        <v>6700</v>
      </c>
      <c r="W112" s="15">
        <f t="shared" si="138"/>
        <v>1206</v>
      </c>
      <c r="X112" s="16">
        <v>12885</v>
      </c>
      <c r="Y112" s="22">
        <f t="shared" si="139"/>
        <v>715.83333333333337</v>
      </c>
      <c r="Z112" s="15">
        <f>IF(+V112&gt;=60000,0.4*V112,0.35*V112)</f>
        <v>2345</v>
      </c>
      <c r="AA112" s="16">
        <f t="shared" si="140"/>
        <v>2433.1666666666661</v>
      </c>
      <c r="AB112" s="58">
        <f t="shared" si="151"/>
        <v>0.51998447807528136</v>
      </c>
      <c r="AC112" s="162">
        <f t="shared" si="142"/>
        <v>14330</v>
      </c>
      <c r="AD112" s="163">
        <f t="shared" si="143"/>
        <v>2579.4</v>
      </c>
      <c r="AE112" s="163">
        <f t="shared" si="144"/>
        <v>8477.3333333333339</v>
      </c>
      <c r="AF112" s="163">
        <f t="shared" si="145"/>
        <v>1984.8888888888891</v>
      </c>
      <c r="AG112" s="163">
        <f t="shared" si="146"/>
        <v>5015.5</v>
      </c>
      <c r="AH112" s="163">
        <f t="shared" si="147"/>
        <v>4750.2111111111117</v>
      </c>
    </row>
    <row r="113" spans="1:34" ht="16.5" customHeight="1" x14ac:dyDescent="0.25">
      <c r="A113" s="9"/>
      <c r="B113" s="69" t="s">
        <v>307</v>
      </c>
      <c r="C113" s="69" t="s">
        <v>308</v>
      </c>
      <c r="D113" s="32" t="s">
        <v>71</v>
      </c>
      <c r="E113" s="31" t="s">
        <v>167</v>
      </c>
      <c r="F113" s="32">
        <v>2484</v>
      </c>
      <c r="G113" s="127">
        <v>0.35</v>
      </c>
      <c r="H113" s="12">
        <v>0</v>
      </c>
      <c r="I113" s="11">
        <f t="shared" si="148"/>
        <v>0</v>
      </c>
      <c r="J113" s="45">
        <v>425</v>
      </c>
      <c r="K113" s="20">
        <f t="shared" ref="K113:K121" si="161">+J113/18</f>
        <v>23.611111111111111</v>
      </c>
      <c r="L113" s="11">
        <f>IF(N113&gt;=0.25,+H113*(+$G113+0.05),+H113*$G113)</f>
        <v>0</v>
      </c>
      <c r="M113" s="37">
        <f t="shared" si="132"/>
        <v>-23.611111111111111</v>
      </c>
      <c r="N113" s="54">
        <f t="shared" si="149"/>
        <v>0</v>
      </c>
      <c r="O113" s="14">
        <v>0</v>
      </c>
      <c r="P113" s="13">
        <f t="shared" si="134"/>
        <v>0</v>
      </c>
      <c r="Q113" s="14">
        <v>425</v>
      </c>
      <c r="R113" s="21">
        <f t="shared" si="135"/>
        <v>23.611111111111111</v>
      </c>
      <c r="S113" s="13">
        <f>IF(U113&gt;=0.25,+O113*(+$G113+0.05),+O113*$G113)</f>
        <v>0</v>
      </c>
      <c r="T113" s="14">
        <f t="shared" si="136"/>
        <v>-23.611111111111111</v>
      </c>
      <c r="U113" s="56">
        <f t="shared" si="150"/>
        <v>0</v>
      </c>
      <c r="V113" s="16">
        <v>0</v>
      </c>
      <c r="W113" s="15">
        <f t="shared" si="138"/>
        <v>0</v>
      </c>
      <c r="X113" s="16">
        <v>425</v>
      </c>
      <c r="Y113" s="22">
        <f t="shared" si="139"/>
        <v>23.611111111111111</v>
      </c>
      <c r="Z113" s="15">
        <f>IF(AB113&gt;=0.25,+V113*(+$G113+0.05),+V113*$G113)</f>
        <v>0</v>
      </c>
      <c r="AA113" s="16">
        <f t="shared" si="140"/>
        <v>-23.611111111111111</v>
      </c>
      <c r="AB113" s="58">
        <f t="shared" si="151"/>
        <v>0</v>
      </c>
      <c r="AC113" s="162">
        <f t="shared" si="142"/>
        <v>0</v>
      </c>
      <c r="AD113" s="163">
        <f t="shared" si="143"/>
        <v>0</v>
      </c>
      <c r="AE113" s="163">
        <f t="shared" si="144"/>
        <v>283.33333333333331</v>
      </c>
      <c r="AF113" s="163">
        <f t="shared" si="145"/>
        <v>70.833333333333329</v>
      </c>
      <c r="AG113" s="163">
        <f t="shared" si="146"/>
        <v>0</v>
      </c>
      <c r="AH113" s="163">
        <f t="shared" si="147"/>
        <v>-70.833333333333329</v>
      </c>
    </row>
    <row r="114" spans="1:34" ht="16.5" customHeight="1" x14ac:dyDescent="0.25">
      <c r="A114" s="9"/>
      <c r="B114" s="69" t="s">
        <v>309</v>
      </c>
      <c r="C114" s="69" t="s">
        <v>310</v>
      </c>
      <c r="D114" s="32" t="s">
        <v>311</v>
      </c>
      <c r="E114" s="31" t="s">
        <v>167</v>
      </c>
      <c r="F114" s="32">
        <v>2495</v>
      </c>
      <c r="G114" s="127">
        <v>0.35</v>
      </c>
      <c r="H114" s="12">
        <v>4200</v>
      </c>
      <c r="I114" s="11">
        <f t="shared" si="148"/>
        <v>756</v>
      </c>
      <c r="J114" s="45">
        <v>33465.4</v>
      </c>
      <c r="K114" s="20">
        <f t="shared" si="161"/>
        <v>1859.1888888888889</v>
      </c>
      <c r="L114" s="11">
        <f>IF(N114&gt;=0.25,+H114*(+$G114+0.05),+H114*$G114)</f>
        <v>1470</v>
      </c>
      <c r="M114" s="37">
        <f t="shared" si="132"/>
        <v>114.81111111111113</v>
      </c>
      <c r="N114" s="54">
        <f t="shared" si="149"/>
        <v>0.12550275807251668</v>
      </c>
      <c r="O114" s="14">
        <v>0</v>
      </c>
      <c r="P114" s="13">
        <f t="shared" si="134"/>
        <v>0</v>
      </c>
      <c r="Q114" s="14">
        <v>17041.5</v>
      </c>
      <c r="R114" s="21">
        <f t="shared" si="135"/>
        <v>946.75</v>
      </c>
      <c r="S114" s="13">
        <f>IF(U114&gt;=0.25,+O114*(+$G114+0.05),+O114*$G114)</f>
        <v>0</v>
      </c>
      <c r="T114" s="14">
        <f t="shared" si="136"/>
        <v>-946.75</v>
      </c>
      <c r="U114" s="56">
        <f t="shared" si="150"/>
        <v>0</v>
      </c>
      <c r="V114" s="16">
        <v>0</v>
      </c>
      <c r="W114" s="15">
        <f t="shared" si="138"/>
        <v>0</v>
      </c>
      <c r="X114" s="16">
        <v>4583.5</v>
      </c>
      <c r="Y114" s="22">
        <f t="shared" si="139"/>
        <v>254.63888888888889</v>
      </c>
      <c r="Z114" s="15">
        <f>IF(AB114&gt;=0.25,+V114*(+$G114+0.05),+V114*$G114)</f>
        <v>0</v>
      </c>
      <c r="AA114" s="16">
        <f t="shared" si="140"/>
        <v>-254.63888888888889</v>
      </c>
      <c r="AB114" s="58">
        <f t="shared" si="151"/>
        <v>0</v>
      </c>
      <c r="AC114" s="162">
        <f t="shared" si="142"/>
        <v>4200</v>
      </c>
      <c r="AD114" s="163">
        <f t="shared" si="143"/>
        <v>756</v>
      </c>
      <c r="AE114" s="163">
        <f t="shared" si="144"/>
        <v>8608.3333333333339</v>
      </c>
      <c r="AF114" s="163">
        <f t="shared" si="145"/>
        <v>3060.5777777777776</v>
      </c>
      <c r="AG114" s="163">
        <f t="shared" si="146"/>
        <v>1470</v>
      </c>
      <c r="AH114" s="163">
        <f t="shared" si="147"/>
        <v>-1086.5777777777776</v>
      </c>
    </row>
    <row r="115" spans="1:34" ht="16.5" customHeight="1" x14ac:dyDescent="0.25">
      <c r="A115" s="9"/>
      <c r="B115" s="69" t="s">
        <v>316</v>
      </c>
      <c r="C115" s="69" t="s">
        <v>317</v>
      </c>
      <c r="D115" s="32" t="s">
        <v>75</v>
      </c>
      <c r="E115" s="31" t="s">
        <v>167</v>
      </c>
      <c r="F115" s="32">
        <v>2504</v>
      </c>
      <c r="G115" s="127">
        <v>0.5</v>
      </c>
      <c r="H115" s="12">
        <v>29250</v>
      </c>
      <c r="I115" s="11">
        <f t="shared" si="148"/>
        <v>5265</v>
      </c>
      <c r="J115" s="45">
        <v>157265.79999999999</v>
      </c>
      <c r="K115" s="20">
        <f t="shared" si="161"/>
        <v>8736.9888888888891</v>
      </c>
      <c r="L115" s="11">
        <f>+G115*H115</f>
        <v>14625</v>
      </c>
      <c r="M115" s="37">
        <f t="shared" si="132"/>
        <v>623.01111111111095</v>
      </c>
      <c r="N115" s="54">
        <f t="shared" si="149"/>
        <v>0.18599085115772152</v>
      </c>
      <c r="O115" s="14">
        <v>48410</v>
      </c>
      <c r="P115" s="13">
        <f t="shared" si="134"/>
        <v>8713.7999999999993</v>
      </c>
      <c r="Q115" s="14">
        <v>131478.25</v>
      </c>
      <c r="R115" s="21">
        <f t="shared" si="135"/>
        <v>7304.3472222222226</v>
      </c>
      <c r="S115" s="13">
        <f>+O115*G115</f>
        <v>24205</v>
      </c>
      <c r="T115" s="14">
        <f t="shared" si="136"/>
        <v>8186.8527777777781</v>
      </c>
      <c r="U115" s="56">
        <f t="shared" si="150"/>
        <v>0.36819778176238277</v>
      </c>
      <c r="V115" s="16">
        <v>51357.5</v>
      </c>
      <c r="W115" s="15">
        <f t="shared" si="138"/>
        <v>9244.35</v>
      </c>
      <c r="X115" s="16">
        <v>122643.25</v>
      </c>
      <c r="Y115" s="22">
        <f t="shared" si="139"/>
        <v>6813.5138888888887</v>
      </c>
      <c r="Z115" s="15">
        <f>+V115*G115</f>
        <v>25678.75</v>
      </c>
      <c r="AA115" s="16">
        <f t="shared" si="140"/>
        <v>9620.8861111111109</v>
      </c>
      <c r="AB115" s="58">
        <f t="shared" si="151"/>
        <v>0.4187552107433552</v>
      </c>
      <c r="AC115" s="162">
        <f t="shared" si="142"/>
        <v>129017.5</v>
      </c>
      <c r="AD115" s="163">
        <f t="shared" si="143"/>
        <v>23223.15</v>
      </c>
      <c r="AE115" s="163">
        <f t="shared" si="144"/>
        <v>94457.166666666672</v>
      </c>
      <c r="AF115" s="163">
        <f t="shared" si="145"/>
        <v>22854.85</v>
      </c>
      <c r="AG115" s="163">
        <f t="shared" si="146"/>
        <v>64508.75</v>
      </c>
      <c r="AH115" s="163">
        <f t="shared" si="147"/>
        <v>18430.75</v>
      </c>
    </row>
    <row r="116" spans="1:34" ht="16.5" customHeight="1" x14ac:dyDescent="0.25">
      <c r="A116" s="9"/>
      <c r="B116" s="69" t="s">
        <v>342</v>
      </c>
      <c r="C116" s="69" t="s">
        <v>341</v>
      </c>
      <c r="D116" s="32" t="s">
        <v>75</v>
      </c>
      <c r="E116" s="31" t="s">
        <v>167</v>
      </c>
      <c r="F116" s="32">
        <v>2359</v>
      </c>
      <c r="G116" s="127">
        <v>0.35</v>
      </c>
      <c r="H116" s="12">
        <v>3180</v>
      </c>
      <c r="I116" s="11">
        <f t="shared" si="148"/>
        <v>572.4</v>
      </c>
      <c r="J116" s="45">
        <v>25415</v>
      </c>
      <c r="K116" s="20">
        <f t="shared" si="161"/>
        <v>1411.9444444444443</v>
      </c>
      <c r="L116" s="11">
        <f t="shared" ref="L116" si="162">IF(+H116&gt;0,+H116*$G116,0)</f>
        <v>1113</v>
      </c>
      <c r="M116" s="37">
        <f t="shared" si="132"/>
        <v>82.655555555555566</v>
      </c>
      <c r="N116" s="54">
        <f t="shared" si="149"/>
        <v>0.12512295888254968</v>
      </c>
      <c r="O116" s="14">
        <v>9110</v>
      </c>
      <c r="P116" s="13">
        <f t="shared" si="134"/>
        <v>1639.8</v>
      </c>
      <c r="Q116" s="14">
        <v>25961.25</v>
      </c>
      <c r="R116" s="21">
        <f t="shared" si="135"/>
        <v>1442.2916666666667</v>
      </c>
      <c r="S116" s="13">
        <f t="shared" ref="S116" si="163">IF(+O116&gt;0,+O116*$G116,0)</f>
        <v>3188.5</v>
      </c>
      <c r="T116" s="14">
        <f t="shared" si="136"/>
        <v>2839.4083333333328</v>
      </c>
      <c r="U116" s="56">
        <f t="shared" si="150"/>
        <v>0.35090760267706678</v>
      </c>
      <c r="V116" s="16">
        <v>5180</v>
      </c>
      <c r="W116" s="15">
        <f t="shared" si="138"/>
        <v>932.4</v>
      </c>
      <c r="X116" s="16">
        <v>25718.75</v>
      </c>
      <c r="Y116" s="22">
        <f t="shared" si="139"/>
        <v>1428.8194444444443</v>
      </c>
      <c r="Z116" s="15">
        <f t="shared" ref="Z116" si="164">IF(+V116&gt;0,+V116*$G116,0)</f>
        <v>1812.9999999999998</v>
      </c>
      <c r="AA116" s="16">
        <f t="shared" si="140"/>
        <v>1005.780555555556</v>
      </c>
      <c r="AB116" s="58">
        <f t="shared" si="151"/>
        <v>0.20140947752126367</v>
      </c>
      <c r="AC116" s="162">
        <f t="shared" si="142"/>
        <v>17470</v>
      </c>
      <c r="AD116" s="163">
        <f t="shared" si="143"/>
        <v>3144.6</v>
      </c>
      <c r="AE116" s="163">
        <f t="shared" si="144"/>
        <v>18286.666666666668</v>
      </c>
      <c r="AF116" s="163">
        <f t="shared" si="145"/>
        <v>4283.0555555555557</v>
      </c>
      <c r="AG116" s="163">
        <f t="shared" si="146"/>
        <v>6114.5</v>
      </c>
      <c r="AH116" s="163">
        <f t="shared" si="147"/>
        <v>3927.8444444444431</v>
      </c>
    </row>
    <row r="117" spans="1:34" ht="16.5" customHeight="1" x14ac:dyDescent="0.25">
      <c r="A117" s="9"/>
      <c r="B117" s="69" t="s">
        <v>360</v>
      </c>
      <c r="C117" s="69" t="s">
        <v>361</v>
      </c>
      <c r="D117" s="32" t="s">
        <v>80</v>
      </c>
      <c r="E117" s="31" t="s">
        <v>167</v>
      </c>
      <c r="F117" s="32">
        <v>2062</v>
      </c>
      <c r="G117" s="127">
        <v>0.35</v>
      </c>
      <c r="H117" s="12">
        <v>0</v>
      </c>
      <c r="I117" s="11">
        <f t="shared" si="148"/>
        <v>0</v>
      </c>
      <c r="J117" s="45">
        <v>3237</v>
      </c>
      <c r="K117" s="20">
        <f t="shared" ref="K117:K120" si="165">+J117/18</f>
        <v>179.83333333333334</v>
      </c>
      <c r="L117" s="11">
        <f t="shared" ref="L117:L119" si="166">IF(+H117&gt;0,+H117*$G117,0)</f>
        <v>0</v>
      </c>
      <c r="M117" s="37">
        <f t="shared" ref="M117:M120" si="167">H117-(K117+L117+I117)</f>
        <v>-179.83333333333334</v>
      </c>
      <c r="N117" s="54">
        <f t="shared" ref="N117:N120" si="168">IF(H117&gt;0,IF(J117&gt;0,+H117/J117,"n/m"),0)</f>
        <v>0</v>
      </c>
      <c r="O117" s="14">
        <v>0</v>
      </c>
      <c r="P117" s="13">
        <f t="shared" si="134"/>
        <v>0</v>
      </c>
      <c r="Q117" s="14">
        <v>0</v>
      </c>
      <c r="R117" s="21">
        <f t="shared" ref="R117:R120" si="169">Q117/18</f>
        <v>0</v>
      </c>
      <c r="S117" s="13">
        <f t="shared" ref="S117:S119" si="170">IF(+O117&gt;0,+O117*$G117,0)</f>
        <v>0</v>
      </c>
      <c r="T117" s="14">
        <f t="shared" ref="T117:T120" si="171">O117-(R117+S117+P117)</f>
        <v>0</v>
      </c>
      <c r="U117" s="56">
        <f t="shared" ref="U117:U120" si="172">IF(O117&gt;0,IF(Q117&gt;0,+O117/Q117,"n/m"),0)</f>
        <v>0</v>
      </c>
      <c r="V117" s="16">
        <v>0</v>
      </c>
      <c r="W117" s="15">
        <f t="shared" si="138"/>
        <v>0</v>
      </c>
      <c r="X117" s="16">
        <v>0</v>
      </c>
      <c r="Y117" s="22">
        <f t="shared" ref="Y117:Y120" si="173">X117/18</f>
        <v>0</v>
      </c>
      <c r="Z117" s="15">
        <f t="shared" ref="Z117:Z119" si="174">IF(+V117&gt;0,+V117*$G117,0)</f>
        <v>0</v>
      </c>
      <c r="AA117" s="16">
        <f t="shared" ref="AA117:AA120" si="175">V117-(Y117+Z117+W117)</f>
        <v>0</v>
      </c>
      <c r="AB117" s="58">
        <f t="shared" ref="AB117:AB120" si="176">IF(V117&gt;0,IF(X117&gt;0,+V117/X117,"n/m"),0)</f>
        <v>0</v>
      </c>
      <c r="AC117" s="162">
        <f t="shared" si="142"/>
        <v>0</v>
      </c>
      <c r="AD117" s="163">
        <f t="shared" si="143"/>
        <v>0</v>
      </c>
      <c r="AE117" s="163">
        <f t="shared" si="144"/>
        <v>0</v>
      </c>
      <c r="AF117" s="163">
        <f t="shared" si="145"/>
        <v>179.83333333333334</v>
      </c>
      <c r="AG117" s="163">
        <f t="shared" si="146"/>
        <v>0</v>
      </c>
      <c r="AH117" s="163">
        <f t="shared" si="147"/>
        <v>-179.83333333333334</v>
      </c>
    </row>
    <row r="118" spans="1:34" ht="16.5" customHeight="1" x14ac:dyDescent="0.25">
      <c r="A118" s="9"/>
      <c r="B118" s="69" t="s">
        <v>375</v>
      </c>
      <c r="C118" s="69" t="s">
        <v>374</v>
      </c>
      <c r="D118" s="32" t="s">
        <v>71</v>
      </c>
      <c r="E118" s="31" t="s">
        <v>167</v>
      </c>
      <c r="F118" s="32">
        <v>2547</v>
      </c>
      <c r="G118" s="129">
        <v>0.35</v>
      </c>
      <c r="H118" s="12">
        <v>31225</v>
      </c>
      <c r="I118" s="11">
        <f t="shared" si="148"/>
        <v>5620.5</v>
      </c>
      <c r="J118" s="45">
        <v>26316.400000000001</v>
      </c>
      <c r="K118" s="20">
        <f t="shared" si="165"/>
        <v>1462.0222222222224</v>
      </c>
      <c r="L118" s="11">
        <f t="shared" si="166"/>
        <v>10928.75</v>
      </c>
      <c r="M118" s="37">
        <f t="shared" si="167"/>
        <v>13213.727777777778</v>
      </c>
      <c r="N118" s="54">
        <f t="shared" si="168"/>
        <v>1.1865224726786339</v>
      </c>
      <c r="O118" s="14">
        <v>0</v>
      </c>
      <c r="P118" s="13">
        <f t="shared" si="134"/>
        <v>0</v>
      </c>
      <c r="Q118" s="14">
        <v>9100.5</v>
      </c>
      <c r="R118" s="21">
        <f t="shared" si="169"/>
        <v>505.58333333333331</v>
      </c>
      <c r="S118" s="13">
        <f t="shared" si="170"/>
        <v>0</v>
      </c>
      <c r="T118" s="14">
        <f t="shared" si="171"/>
        <v>-505.58333333333331</v>
      </c>
      <c r="U118" s="56">
        <f t="shared" si="172"/>
        <v>0</v>
      </c>
      <c r="V118" s="16">
        <v>0</v>
      </c>
      <c r="W118" s="15">
        <f t="shared" si="138"/>
        <v>0</v>
      </c>
      <c r="X118" s="16">
        <v>107.5</v>
      </c>
      <c r="Y118" s="22">
        <f t="shared" si="173"/>
        <v>5.9722222222222223</v>
      </c>
      <c r="Z118" s="15">
        <f t="shared" si="174"/>
        <v>0</v>
      </c>
      <c r="AA118" s="16">
        <f t="shared" si="175"/>
        <v>-5.9722222222222223</v>
      </c>
      <c r="AB118" s="58">
        <f t="shared" si="176"/>
        <v>0</v>
      </c>
      <c r="AC118" s="162">
        <f t="shared" si="142"/>
        <v>31225</v>
      </c>
      <c r="AD118" s="163">
        <f t="shared" si="143"/>
        <v>5620.5</v>
      </c>
      <c r="AE118" s="163">
        <f t="shared" si="144"/>
        <v>13477.666666666666</v>
      </c>
      <c r="AF118" s="163">
        <f t="shared" si="145"/>
        <v>1973.5777777777778</v>
      </c>
      <c r="AG118" s="163">
        <f t="shared" si="146"/>
        <v>10928.75</v>
      </c>
      <c r="AH118" s="163">
        <f t="shared" si="147"/>
        <v>12702.172222222223</v>
      </c>
    </row>
    <row r="119" spans="1:34" ht="16.5" customHeight="1" x14ac:dyDescent="0.25">
      <c r="A119" s="9"/>
      <c r="B119" s="69" t="s">
        <v>376</v>
      </c>
      <c r="C119" s="69" t="s">
        <v>377</v>
      </c>
      <c r="D119" s="32" t="s">
        <v>80</v>
      </c>
      <c r="E119" s="31" t="s">
        <v>167</v>
      </c>
      <c r="F119" s="32">
        <v>2541</v>
      </c>
      <c r="G119" s="127">
        <v>0.35</v>
      </c>
      <c r="H119" s="12">
        <v>4560</v>
      </c>
      <c r="I119" s="11">
        <f t="shared" si="148"/>
        <v>820.8</v>
      </c>
      <c r="J119" s="45">
        <v>17373.400000000001</v>
      </c>
      <c r="K119" s="20">
        <f t="shared" si="165"/>
        <v>965.18888888888898</v>
      </c>
      <c r="L119" s="11">
        <f t="shared" si="166"/>
        <v>1596</v>
      </c>
      <c r="M119" s="37">
        <f t="shared" si="167"/>
        <v>1178.0111111111109</v>
      </c>
      <c r="N119" s="54">
        <f t="shared" si="168"/>
        <v>0.26247021308437035</v>
      </c>
      <c r="O119" s="14">
        <v>0</v>
      </c>
      <c r="P119" s="13">
        <f t="shared" si="134"/>
        <v>0</v>
      </c>
      <c r="Q119" s="14">
        <v>534</v>
      </c>
      <c r="R119" s="21">
        <f t="shared" si="169"/>
        <v>29.666666666666668</v>
      </c>
      <c r="S119" s="13">
        <f t="shared" si="170"/>
        <v>0</v>
      </c>
      <c r="T119" s="14">
        <f t="shared" si="171"/>
        <v>-29.666666666666668</v>
      </c>
      <c r="U119" s="56">
        <f t="shared" si="172"/>
        <v>0</v>
      </c>
      <c r="V119" s="16">
        <v>0</v>
      </c>
      <c r="W119" s="15">
        <f t="shared" si="138"/>
        <v>0</v>
      </c>
      <c r="X119" s="16">
        <v>534</v>
      </c>
      <c r="Y119" s="22">
        <f t="shared" si="173"/>
        <v>29.666666666666668</v>
      </c>
      <c r="Z119" s="15">
        <f t="shared" si="174"/>
        <v>0</v>
      </c>
      <c r="AA119" s="16">
        <f t="shared" si="175"/>
        <v>-29.666666666666668</v>
      </c>
      <c r="AB119" s="58">
        <f t="shared" si="176"/>
        <v>0</v>
      </c>
      <c r="AC119" s="162">
        <f t="shared" si="142"/>
        <v>4560</v>
      </c>
      <c r="AD119" s="163">
        <f t="shared" si="143"/>
        <v>820.8</v>
      </c>
      <c r="AE119" s="163">
        <f t="shared" si="144"/>
        <v>1876</v>
      </c>
      <c r="AF119" s="163">
        <f t="shared" si="145"/>
        <v>1024.5222222222224</v>
      </c>
      <c r="AG119" s="163">
        <f t="shared" si="146"/>
        <v>1596</v>
      </c>
      <c r="AH119" s="163">
        <f t="shared" si="147"/>
        <v>1118.6777777777775</v>
      </c>
    </row>
    <row r="120" spans="1:34" ht="16.5" customHeight="1" x14ac:dyDescent="0.25">
      <c r="A120" s="9"/>
      <c r="B120" s="69" t="s">
        <v>388</v>
      </c>
      <c r="C120" s="69" t="s">
        <v>389</v>
      </c>
      <c r="D120" s="32" t="s">
        <v>73</v>
      </c>
      <c r="E120" s="31" t="s">
        <v>167</v>
      </c>
      <c r="F120" s="32">
        <v>2552</v>
      </c>
      <c r="G120" s="129">
        <v>0.5</v>
      </c>
      <c r="H120" s="12"/>
      <c r="I120" s="11">
        <f t="shared" si="148"/>
        <v>0</v>
      </c>
      <c r="J120" s="45"/>
      <c r="K120" s="20">
        <f t="shared" si="165"/>
        <v>0</v>
      </c>
      <c r="L120" s="11"/>
      <c r="M120" s="37">
        <f t="shared" si="167"/>
        <v>0</v>
      </c>
      <c r="N120" s="54">
        <f t="shared" si="168"/>
        <v>0</v>
      </c>
      <c r="O120" s="14">
        <v>11500</v>
      </c>
      <c r="P120" s="13">
        <f t="shared" si="134"/>
        <v>2070</v>
      </c>
      <c r="Q120" s="14">
        <v>76583.25</v>
      </c>
      <c r="R120" s="21">
        <f t="shared" si="169"/>
        <v>4254.625</v>
      </c>
      <c r="S120" s="13">
        <f>+O120*0.4</f>
        <v>4600</v>
      </c>
      <c r="T120" s="14">
        <f t="shared" si="171"/>
        <v>575.375</v>
      </c>
      <c r="U120" s="56">
        <f t="shared" si="172"/>
        <v>0.15016338429095136</v>
      </c>
      <c r="V120" s="16">
        <v>21016</v>
      </c>
      <c r="W120" s="15">
        <f t="shared" si="138"/>
        <v>3782.8799999999997</v>
      </c>
      <c r="X120" s="16">
        <v>30239.5</v>
      </c>
      <c r="Y120" s="22">
        <f t="shared" si="173"/>
        <v>1679.9722222222222</v>
      </c>
      <c r="Z120" s="15">
        <f>+V120*0.4</f>
        <v>8406.4</v>
      </c>
      <c r="AA120" s="16">
        <f t="shared" si="175"/>
        <v>7146.7477777777785</v>
      </c>
      <c r="AB120" s="58">
        <f t="shared" si="176"/>
        <v>0.69498503612824281</v>
      </c>
      <c r="AC120" s="162">
        <f t="shared" si="142"/>
        <v>32516</v>
      </c>
      <c r="AD120" s="163">
        <f t="shared" si="143"/>
        <v>5852.8799999999992</v>
      </c>
      <c r="AE120" s="163">
        <f t="shared" si="144"/>
        <v>35607.583333333336</v>
      </c>
      <c r="AF120" s="163">
        <f t="shared" si="145"/>
        <v>5934.5972222222226</v>
      </c>
      <c r="AG120" s="163">
        <f t="shared" si="146"/>
        <v>13006.4</v>
      </c>
      <c r="AH120" s="163">
        <f t="shared" si="147"/>
        <v>7722.1227777777804</v>
      </c>
    </row>
    <row r="121" spans="1:34" ht="16.5" customHeight="1" thickBot="1" x14ac:dyDescent="0.3">
      <c r="A121" s="9"/>
      <c r="B121" s="69" t="s">
        <v>393</v>
      </c>
      <c r="C121" s="69" t="s">
        <v>392</v>
      </c>
      <c r="D121" s="32" t="s">
        <v>79</v>
      </c>
      <c r="E121" s="31" t="s">
        <v>167</v>
      </c>
      <c r="F121" s="32">
        <v>2501</v>
      </c>
      <c r="G121" s="127">
        <v>0.35</v>
      </c>
      <c r="H121" s="12"/>
      <c r="I121" s="11">
        <f t="shared" si="148"/>
        <v>0</v>
      </c>
      <c r="J121" s="45"/>
      <c r="K121" s="20">
        <f t="shared" si="161"/>
        <v>0</v>
      </c>
      <c r="L121" s="11">
        <f>IF(H121&gt;=50000,(+$G121+0.05)*H121,+H121*$G121)</f>
        <v>0</v>
      </c>
      <c r="M121" s="37">
        <f t="shared" si="132"/>
        <v>0</v>
      </c>
      <c r="N121" s="54">
        <f t="shared" si="149"/>
        <v>0</v>
      </c>
      <c r="O121" s="14">
        <v>5000</v>
      </c>
      <c r="P121" s="13">
        <f t="shared" si="134"/>
        <v>900</v>
      </c>
      <c r="Q121" s="14">
        <v>19451.25</v>
      </c>
      <c r="R121" s="21">
        <f t="shared" si="135"/>
        <v>1080.625</v>
      </c>
      <c r="S121" s="13">
        <f>IF(O121&gt;=50000,(+$G121+0.05)*O121,+O121*$G121)</f>
        <v>1750</v>
      </c>
      <c r="T121" s="14">
        <f t="shared" si="136"/>
        <v>1269.375</v>
      </c>
      <c r="U121" s="56">
        <f t="shared" si="150"/>
        <v>0.25705288863183601</v>
      </c>
      <c r="V121" s="16">
        <v>0</v>
      </c>
      <c r="W121" s="15">
        <f t="shared" si="138"/>
        <v>0</v>
      </c>
      <c r="X121" s="16">
        <v>260</v>
      </c>
      <c r="Y121" s="22">
        <f t="shared" si="139"/>
        <v>14.444444444444445</v>
      </c>
      <c r="Z121" s="15">
        <f>IF(V121&gt;=50000,(+$G121+0.05)*V121,+V121*$G121)</f>
        <v>0</v>
      </c>
      <c r="AA121" s="16">
        <f t="shared" si="140"/>
        <v>-14.444444444444445</v>
      </c>
      <c r="AB121" s="58">
        <f t="shared" si="151"/>
        <v>0</v>
      </c>
      <c r="AC121" s="162">
        <f t="shared" si="142"/>
        <v>5000</v>
      </c>
      <c r="AD121" s="163">
        <f t="shared" si="143"/>
        <v>900</v>
      </c>
      <c r="AE121" s="163">
        <f t="shared" si="144"/>
        <v>6570.416666666667</v>
      </c>
      <c r="AF121" s="163">
        <f t="shared" si="145"/>
        <v>1095.0694444444443</v>
      </c>
      <c r="AG121" s="163">
        <f t="shared" si="146"/>
        <v>1750</v>
      </c>
      <c r="AH121" s="163">
        <f t="shared" si="147"/>
        <v>1254.9305555555557</v>
      </c>
    </row>
    <row r="122" spans="1:34" ht="16.5" customHeight="1" thickBot="1" x14ac:dyDescent="0.3">
      <c r="A122" s="9"/>
      <c r="B122" s="59" t="s">
        <v>161</v>
      </c>
      <c r="C122" s="61"/>
      <c r="D122" s="33"/>
      <c r="E122" s="33"/>
      <c r="F122" s="33"/>
      <c r="G122" s="46"/>
      <c r="H122" s="80">
        <f>SUM(H91:H121)</f>
        <v>397183.60000000003</v>
      </c>
      <c r="I122" s="77">
        <f>SUM(I91:I121)</f>
        <v>71493.04800000001</v>
      </c>
      <c r="J122" s="80">
        <f>SUM(J91:J121)</f>
        <v>1585259.3999999997</v>
      </c>
      <c r="K122" s="79">
        <f t="shared" si="131"/>
        <v>88069.966666666645</v>
      </c>
      <c r="L122" s="77">
        <f>SUM(L91:L121)</f>
        <v>170067.58</v>
      </c>
      <c r="M122" s="80">
        <f>SUM(M91:M121)</f>
        <v>67553.005333333364</v>
      </c>
      <c r="N122" s="81">
        <f t="shared" si="149"/>
        <v>0.25054801756734585</v>
      </c>
      <c r="O122" s="95">
        <f t="shared" ref="O122:T122" si="177">SUM(O91:O121)</f>
        <v>410765.39999999997</v>
      </c>
      <c r="P122" s="83">
        <f t="shared" si="177"/>
        <v>73937.771999999997</v>
      </c>
      <c r="Q122" s="95">
        <f t="shared" si="177"/>
        <v>1546400.75</v>
      </c>
      <c r="R122" s="84">
        <f t="shared" si="177"/>
        <v>85911.152777777781</v>
      </c>
      <c r="S122" s="83">
        <f t="shared" si="177"/>
        <v>177233.84999999998</v>
      </c>
      <c r="T122" s="95">
        <f t="shared" si="177"/>
        <v>73682.62522222221</v>
      </c>
      <c r="U122" s="85">
        <f t="shared" si="150"/>
        <v>0.26562674649504664</v>
      </c>
      <c r="V122" s="97">
        <f t="shared" ref="V122:AH122" si="178">SUM(V91:V121)</f>
        <v>343595.3</v>
      </c>
      <c r="W122" s="87">
        <f t="shared" si="178"/>
        <v>61847.153999999988</v>
      </c>
      <c r="X122" s="97">
        <f t="shared" si="178"/>
        <v>1322233</v>
      </c>
      <c r="Y122" s="88">
        <f t="shared" si="178"/>
        <v>73457.388888888876</v>
      </c>
      <c r="Z122" s="87">
        <f t="shared" si="178"/>
        <v>153998.6</v>
      </c>
      <c r="AA122" s="97">
        <f t="shared" si="178"/>
        <v>54292.157111111133</v>
      </c>
      <c r="AB122" s="89">
        <f t="shared" si="151"/>
        <v>0.25985987341111588</v>
      </c>
      <c r="AC122" s="164">
        <f t="shared" si="178"/>
        <v>1151544.2999999998</v>
      </c>
      <c r="AD122" s="168">
        <f t="shared" si="178"/>
        <v>207277.97399999999</v>
      </c>
      <c r="AE122" s="164">
        <f t="shared" si="178"/>
        <v>1088605.7833333334</v>
      </c>
      <c r="AF122" s="168">
        <f t="shared" si="178"/>
        <v>247438.50833333336</v>
      </c>
      <c r="AG122" s="168">
        <f t="shared" si="178"/>
        <v>501300.03</v>
      </c>
      <c r="AH122" s="164">
        <f t="shared" si="178"/>
        <v>195527.78766666667</v>
      </c>
    </row>
    <row r="123" spans="1:34" ht="16.5" customHeight="1" x14ac:dyDescent="0.25">
      <c r="A123" s="9"/>
      <c r="B123" s="59"/>
      <c r="C123" s="61"/>
      <c r="D123" s="33"/>
      <c r="E123" s="33"/>
      <c r="F123" s="33"/>
      <c r="G123" s="46"/>
      <c r="H123" s="76"/>
      <c r="I123" s="77"/>
      <c r="J123" s="76"/>
      <c r="K123" s="79"/>
      <c r="L123" s="99">
        <f>+L122/H122</f>
        <v>0.42818379208003549</v>
      </c>
      <c r="M123" s="76"/>
      <c r="N123" s="81"/>
      <c r="O123" s="82"/>
      <c r="P123" s="83"/>
      <c r="Q123" s="82"/>
      <c r="R123" s="84"/>
      <c r="S123" s="106">
        <f>+S122/O122</f>
        <v>0.43147219799914988</v>
      </c>
      <c r="T123" s="82"/>
      <c r="U123" s="85"/>
      <c r="V123" s="86"/>
      <c r="W123" s="87"/>
      <c r="X123" s="86"/>
      <c r="Y123" s="88"/>
      <c r="Z123" s="107">
        <f>+Z122/V122</f>
        <v>0.44819763250545047</v>
      </c>
      <c r="AA123" s="86"/>
      <c r="AB123" s="89"/>
      <c r="AC123" s="169"/>
      <c r="AD123" s="167"/>
      <c r="AE123" s="167"/>
      <c r="AF123" s="167"/>
      <c r="AG123" s="167"/>
      <c r="AH123" s="167"/>
    </row>
    <row r="124" spans="1:34" ht="16.5" customHeight="1" x14ac:dyDescent="0.25">
      <c r="A124" s="9"/>
      <c r="B124" s="70" t="s">
        <v>38</v>
      </c>
      <c r="C124" s="70" t="s">
        <v>37</v>
      </c>
      <c r="D124" s="31" t="s">
        <v>88</v>
      </c>
      <c r="E124" s="31" t="s">
        <v>163</v>
      </c>
      <c r="F124" s="42">
        <v>2099</v>
      </c>
      <c r="G124" s="130">
        <v>0.12</v>
      </c>
      <c r="H124" s="12">
        <v>8950</v>
      </c>
      <c r="I124" s="11">
        <f t="shared" ref="I124:I129" si="179">+H124*$G$183</f>
        <v>2237.5</v>
      </c>
      <c r="J124" s="45">
        <v>22511.8</v>
      </c>
      <c r="K124" s="20">
        <f t="shared" ref="K124:K129" si="180">J124/18</f>
        <v>1250.6555555555556</v>
      </c>
      <c r="L124" s="11">
        <f>IF(+H124&gt;0,+H124*G124,0)</f>
        <v>1074</v>
      </c>
      <c r="M124" s="12">
        <f t="shared" ref="M124:M129" si="181">H124-(K124+L124+I124)</f>
        <v>4387.8444444444449</v>
      </c>
      <c r="N124" s="54">
        <f t="shared" ref="N124:N129" si="182">IF(H124&gt;0,IF(J124&gt;0,+H124/J124,"n/m"),0)</f>
        <v>0.39756927478033743</v>
      </c>
      <c r="O124" s="14">
        <v>11225</v>
      </c>
      <c r="P124" s="13">
        <f t="shared" ref="P124:P129" si="183">+O124*$G$183</f>
        <v>2806.25</v>
      </c>
      <c r="Q124" s="14">
        <v>17371.5</v>
      </c>
      <c r="R124" s="21">
        <f t="shared" ref="R124:R129" si="184">Q124/18</f>
        <v>965.08333333333337</v>
      </c>
      <c r="S124" s="13">
        <f>IF(+O124&gt;0,+O124*N124,0)</f>
        <v>4462.7151094092878</v>
      </c>
      <c r="T124" s="14">
        <f t="shared" ref="T124:T129" si="185">O124-(R124+S124+P124)</f>
        <v>2990.95155725738</v>
      </c>
      <c r="U124" s="56">
        <f t="shared" ref="U124:U129" si="186">IF(O124&gt;0,IF(Q124&gt;0,+O124/Q124,"n/m"),0)</f>
        <v>0.64617332987940013</v>
      </c>
      <c r="V124" s="16">
        <v>13150</v>
      </c>
      <c r="W124" s="15">
        <f t="shared" ref="W124:W129" si="187">+V124*$G$183</f>
        <v>3287.5</v>
      </c>
      <c r="X124" s="16">
        <v>13829</v>
      </c>
      <c r="Y124" s="22">
        <f t="shared" ref="Y124:Y129" si="188">X124/18</f>
        <v>768.27777777777783</v>
      </c>
      <c r="Z124" s="15">
        <f>IF(+V124&gt;0,+V124*U124,0)</f>
        <v>8497.1792879141121</v>
      </c>
      <c r="AA124" s="16">
        <f t="shared" ref="AA124:AA129" si="189">V124-(Y124+Z124+W124)</f>
        <v>597.04293430811049</v>
      </c>
      <c r="AB124" s="58">
        <f t="shared" ref="AB124:AB129" si="190">IF(V124&gt;0,IF(X124&gt;0,+V124/X124,"n/m"),0)</f>
        <v>0.95090028201605326</v>
      </c>
      <c r="AC124" s="162">
        <f t="shared" ref="AC124:AC129" si="191">+H124+O124+V124</f>
        <v>33325</v>
      </c>
      <c r="AD124" s="163">
        <f t="shared" ref="AD124:AD129" si="192">+I124+P124+W124</f>
        <v>8331.25</v>
      </c>
      <c r="AE124" s="163">
        <f t="shared" ref="AE124:AE129" si="193">(+H124+Q124+X124)/3</f>
        <v>13383.5</v>
      </c>
      <c r="AF124" s="163">
        <f t="shared" ref="AF124:AF129" si="194">+K124+R124+Y124</f>
        <v>2984.0166666666669</v>
      </c>
      <c r="AG124" s="163">
        <f t="shared" ref="AG124:AG129" si="195">+L124+S124+Z124</f>
        <v>14033.8943973234</v>
      </c>
      <c r="AH124" s="163">
        <f t="shared" ref="AH124:AH129" si="196">+AC124-AD124-AF124-AG124</f>
        <v>7975.8389360099336</v>
      </c>
    </row>
    <row r="125" spans="1:34" ht="16.5" customHeight="1" x14ac:dyDescent="0.25">
      <c r="A125" s="9"/>
      <c r="B125" s="70" t="s">
        <v>164</v>
      </c>
      <c r="C125" s="70" t="s">
        <v>165</v>
      </c>
      <c r="D125" s="31" t="s">
        <v>80</v>
      </c>
      <c r="E125" s="31" t="s">
        <v>163</v>
      </c>
      <c r="F125" s="31">
        <v>2331</v>
      </c>
      <c r="G125" s="126" t="s">
        <v>8</v>
      </c>
      <c r="H125" s="12">
        <v>0</v>
      </c>
      <c r="I125" s="11">
        <f t="shared" si="179"/>
        <v>0</v>
      </c>
      <c r="J125" s="45">
        <v>5341</v>
      </c>
      <c r="K125" s="20">
        <f t="shared" si="180"/>
        <v>296.72222222222223</v>
      </c>
      <c r="L125" s="12">
        <v>0</v>
      </c>
      <c r="M125" s="12">
        <f t="shared" si="181"/>
        <v>-296.72222222222223</v>
      </c>
      <c r="N125" s="54">
        <f t="shared" si="182"/>
        <v>0</v>
      </c>
      <c r="O125" s="14">
        <v>0</v>
      </c>
      <c r="P125" s="13">
        <f t="shared" si="183"/>
        <v>0</v>
      </c>
      <c r="Q125" s="14">
        <v>5326.75</v>
      </c>
      <c r="R125" s="21">
        <f t="shared" si="184"/>
        <v>295.93055555555554</v>
      </c>
      <c r="S125" s="14">
        <v>0</v>
      </c>
      <c r="T125" s="14">
        <f t="shared" si="185"/>
        <v>-295.93055555555554</v>
      </c>
      <c r="U125" s="56">
        <f t="shared" si="186"/>
        <v>0</v>
      </c>
      <c r="V125" s="16">
        <v>0</v>
      </c>
      <c r="W125" s="15">
        <f t="shared" si="187"/>
        <v>0</v>
      </c>
      <c r="X125" s="16">
        <v>4588</v>
      </c>
      <c r="Y125" s="22">
        <f t="shared" si="188"/>
        <v>254.88888888888889</v>
      </c>
      <c r="Z125" s="16">
        <v>0</v>
      </c>
      <c r="AA125" s="16">
        <f t="shared" si="189"/>
        <v>-254.88888888888889</v>
      </c>
      <c r="AB125" s="58">
        <f t="shared" si="190"/>
        <v>0</v>
      </c>
      <c r="AC125" s="162">
        <f t="shared" si="191"/>
        <v>0</v>
      </c>
      <c r="AD125" s="163">
        <f t="shared" si="192"/>
        <v>0</v>
      </c>
      <c r="AE125" s="163">
        <f t="shared" si="193"/>
        <v>3304.9166666666665</v>
      </c>
      <c r="AF125" s="163">
        <f t="shared" si="194"/>
        <v>847.54166666666674</v>
      </c>
      <c r="AG125" s="163">
        <f t="shared" si="195"/>
        <v>0</v>
      </c>
      <c r="AH125" s="163">
        <f t="shared" si="196"/>
        <v>-847.54166666666674</v>
      </c>
    </row>
    <row r="126" spans="1:34" ht="16.5" customHeight="1" x14ac:dyDescent="0.25">
      <c r="A126" s="9"/>
      <c r="B126" s="70" t="s">
        <v>52</v>
      </c>
      <c r="C126" s="70" t="s">
        <v>190</v>
      </c>
      <c r="D126" s="31" t="s">
        <v>80</v>
      </c>
      <c r="E126" s="31" t="s">
        <v>163</v>
      </c>
      <c r="F126" s="42">
        <v>2394</v>
      </c>
      <c r="G126" s="127" t="s">
        <v>8</v>
      </c>
      <c r="H126" s="12">
        <v>0</v>
      </c>
      <c r="I126" s="11">
        <f t="shared" si="179"/>
        <v>0</v>
      </c>
      <c r="J126" s="45">
        <v>43310</v>
      </c>
      <c r="K126" s="20">
        <f t="shared" si="180"/>
        <v>2406.1111111111113</v>
      </c>
      <c r="L126" s="11">
        <v>0</v>
      </c>
      <c r="M126" s="12">
        <f t="shared" si="181"/>
        <v>-2406.1111111111113</v>
      </c>
      <c r="N126" s="54">
        <f t="shared" si="182"/>
        <v>0</v>
      </c>
      <c r="O126" s="14">
        <v>0</v>
      </c>
      <c r="P126" s="13">
        <f t="shared" si="183"/>
        <v>0</v>
      </c>
      <c r="Q126" s="14">
        <v>43310</v>
      </c>
      <c r="R126" s="21">
        <f t="shared" si="184"/>
        <v>2406.1111111111113</v>
      </c>
      <c r="S126" s="13">
        <v>0</v>
      </c>
      <c r="T126" s="14">
        <f t="shared" si="185"/>
        <v>-2406.1111111111113</v>
      </c>
      <c r="U126" s="56">
        <f t="shared" si="186"/>
        <v>0</v>
      </c>
      <c r="V126" s="16">
        <v>0</v>
      </c>
      <c r="W126" s="15">
        <f t="shared" si="187"/>
        <v>0</v>
      </c>
      <c r="X126" s="16">
        <v>43310</v>
      </c>
      <c r="Y126" s="22">
        <f t="shared" si="188"/>
        <v>2406.1111111111113</v>
      </c>
      <c r="Z126" s="15">
        <v>0</v>
      </c>
      <c r="AA126" s="16">
        <f t="shared" si="189"/>
        <v>-2406.1111111111113</v>
      </c>
      <c r="AB126" s="58">
        <f t="shared" si="190"/>
        <v>0</v>
      </c>
      <c r="AC126" s="162">
        <f t="shared" si="191"/>
        <v>0</v>
      </c>
      <c r="AD126" s="163">
        <f t="shared" si="192"/>
        <v>0</v>
      </c>
      <c r="AE126" s="163">
        <f t="shared" si="193"/>
        <v>28873.333333333332</v>
      </c>
      <c r="AF126" s="163">
        <f t="shared" si="194"/>
        <v>7218.3333333333339</v>
      </c>
      <c r="AG126" s="163">
        <f t="shared" si="195"/>
        <v>0</v>
      </c>
      <c r="AH126" s="163">
        <f t="shared" si="196"/>
        <v>-7218.3333333333339</v>
      </c>
    </row>
    <row r="127" spans="1:34" ht="16.5" customHeight="1" x14ac:dyDescent="0.25">
      <c r="A127" s="9"/>
      <c r="B127" s="70" t="s">
        <v>349</v>
      </c>
      <c r="C127" s="70" t="s">
        <v>348</v>
      </c>
      <c r="D127" s="31" t="s">
        <v>77</v>
      </c>
      <c r="E127" s="31" t="s">
        <v>163</v>
      </c>
      <c r="F127" s="42">
        <v>2029</v>
      </c>
      <c r="G127" s="127" t="s">
        <v>8</v>
      </c>
      <c r="H127" s="12">
        <v>3375</v>
      </c>
      <c r="I127" s="11">
        <f t="shared" si="179"/>
        <v>843.75</v>
      </c>
      <c r="J127" s="45">
        <v>137199.4</v>
      </c>
      <c r="K127" s="20">
        <f t="shared" si="180"/>
        <v>7622.1888888888889</v>
      </c>
      <c r="L127" s="11">
        <v>0</v>
      </c>
      <c r="M127" s="12">
        <f t="shared" si="181"/>
        <v>-5090.9388888888898</v>
      </c>
      <c r="N127" s="54">
        <f t="shared" si="182"/>
        <v>2.4599232941251929E-2</v>
      </c>
      <c r="O127" s="14">
        <v>7425</v>
      </c>
      <c r="P127" s="13">
        <f t="shared" si="183"/>
        <v>1856.25</v>
      </c>
      <c r="Q127" s="14">
        <v>81323.5</v>
      </c>
      <c r="R127" s="21">
        <f t="shared" si="184"/>
        <v>4517.9722222222226</v>
      </c>
      <c r="S127" s="13">
        <v>0</v>
      </c>
      <c r="T127" s="14">
        <f t="shared" si="185"/>
        <v>1050.7777777777774</v>
      </c>
      <c r="U127" s="56">
        <f t="shared" si="186"/>
        <v>9.130202217071326E-2</v>
      </c>
      <c r="V127" s="16">
        <v>3375</v>
      </c>
      <c r="W127" s="15">
        <f t="shared" si="187"/>
        <v>843.75</v>
      </c>
      <c r="X127" s="16">
        <v>41468.75</v>
      </c>
      <c r="Y127" s="22">
        <f t="shared" si="188"/>
        <v>2303.8194444444443</v>
      </c>
      <c r="Z127" s="15">
        <v>0</v>
      </c>
      <c r="AA127" s="16">
        <f t="shared" si="189"/>
        <v>227.43055555555566</v>
      </c>
      <c r="AB127" s="58">
        <f t="shared" si="190"/>
        <v>8.1386586284853055E-2</v>
      </c>
      <c r="AC127" s="162">
        <f t="shared" si="191"/>
        <v>14175</v>
      </c>
      <c r="AD127" s="163">
        <f t="shared" si="192"/>
        <v>3543.75</v>
      </c>
      <c r="AE127" s="163">
        <f t="shared" si="193"/>
        <v>42055.75</v>
      </c>
      <c r="AF127" s="163">
        <f t="shared" si="194"/>
        <v>14443.980555555558</v>
      </c>
      <c r="AG127" s="163">
        <f t="shared" si="195"/>
        <v>0</v>
      </c>
      <c r="AH127" s="163">
        <f t="shared" si="196"/>
        <v>-3812.7305555555577</v>
      </c>
    </row>
    <row r="128" spans="1:34" ht="16.5" customHeight="1" x14ac:dyDescent="0.25">
      <c r="A128" s="9"/>
      <c r="B128" s="70" t="s">
        <v>357</v>
      </c>
      <c r="C128" s="70" t="s">
        <v>358</v>
      </c>
      <c r="D128" s="31" t="s">
        <v>77</v>
      </c>
      <c r="E128" s="31" t="s">
        <v>163</v>
      </c>
      <c r="F128" s="42">
        <v>2460</v>
      </c>
      <c r="G128" s="127" t="s">
        <v>8</v>
      </c>
      <c r="H128" s="12">
        <v>8650</v>
      </c>
      <c r="I128" s="11">
        <f t="shared" si="179"/>
        <v>2162.5</v>
      </c>
      <c r="J128" s="45">
        <v>13526.6</v>
      </c>
      <c r="K128" s="20">
        <f t="shared" si="180"/>
        <v>751.47777777777776</v>
      </c>
      <c r="L128" s="11">
        <v>0</v>
      </c>
      <c r="M128" s="12">
        <f t="shared" si="181"/>
        <v>5736.0222222222219</v>
      </c>
      <c r="N128" s="54">
        <f t="shared" si="182"/>
        <v>0.63948072686410473</v>
      </c>
      <c r="O128" s="14">
        <v>12530</v>
      </c>
      <c r="P128" s="13">
        <f t="shared" si="183"/>
        <v>3132.5</v>
      </c>
      <c r="Q128" s="14">
        <v>20838.25</v>
      </c>
      <c r="R128" s="21">
        <f t="shared" si="184"/>
        <v>1157.6805555555557</v>
      </c>
      <c r="S128" s="13">
        <v>0</v>
      </c>
      <c r="T128" s="14">
        <f t="shared" si="185"/>
        <v>8239.8194444444453</v>
      </c>
      <c r="U128" s="56">
        <f t="shared" si="186"/>
        <v>0.60129809364989861</v>
      </c>
      <c r="V128" s="16">
        <v>10665</v>
      </c>
      <c r="W128" s="15">
        <f t="shared" si="187"/>
        <v>2666.25</v>
      </c>
      <c r="X128" s="16">
        <v>15603.5</v>
      </c>
      <c r="Y128" s="22">
        <f t="shared" si="188"/>
        <v>866.86111111111109</v>
      </c>
      <c r="Z128" s="15">
        <v>0</v>
      </c>
      <c r="AA128" s="16">
        <f t="shared" si="189"/>
        <v>7131.8888888888887</v>
      </c>
      <c r="AB128" s="58">
        <f t="shared" si="190"/>
        <v>0.68350049668343638</v>
      </c>
      <c r="AC128" s="162">
        <f t="shared" si="191"/>
        <v>31845</v>
      </c>
      <c r="AD128" s="163">
        <f t="shared" si="192"/>
        <v>7961.25</v>
      </c>
      <c r="AE128" s="163">
        <f t="shared" si="193"/>
        <v>15030.583333333334</v>
      </c>
      <c r="AF128" s="163">
        <f t="shared" si="194"/>
        <v>2776.0194444444442</v>
      </c>
      <c r="AG128" s="163">
        <f t="shared" si="195"/>
        <v>0</v>
      </c>
      <c r="AH128" s="163">
        <f t="shared" si="196"/>
        <v>21107.730555555558</v>
      </c>
    </row>
    <row r="129" spans="1:34" ht="16.5" customHeight="1" thickBot="1" x14ac:dyDescent="0.3">
      <c r="A129" s="9"/>
      <c r="B129" s="70" t="s">
        <v>390</v>
      </c>
      <c r="C129" s="70" t="s">
        <v>391</v>
      </c>
      <c r="D129" s="31" t="s">
        <v>80</v>
      </c>
      <c r="E129" s="31" t="s">
        <v>163</v>
      </c>
      <c r="F129" s="42">
        <v>2462</v>
      </c>
      <c r="G129" s="127" t="s">
        <v>8</v>
      </c>
      <c r="H129" s="12"/>
      <c r="I129" s="11">
        <f t="shared" si="179"/>
        <v>0</v>
      </c>
      <c r="J129" s="45"/>
      <c r="K129" s="20">
        <f t="shared" si="180"/>
        <v>0</v>
      </c>
      <c r="L129" s="11">
        <v>0</v>
      </c>
      <c r="M129" s="12">
        <f t="shared" si="181"/>
        <v>0</v>
      </c>
      <c r="N129" s="54">
        <f t="shared" si="182"/>
        <v>0</v>
      </c>
      <c r="O129" s="14">
        <v>0</v>
      </c>
      <c r="P129" s="13">
        <f t="shared" si="183"/>
        <v>0</v>
      </c>
      <c r="Q129" s="14">
        <v>13863.75</v>
      </c>
      <c r="R129" s="21">
        <f t="shared" si="184"/>
        <v>770.20833333333337</v>
      </c>
      <c r="S129" s="13">
        <v>0</v>
      </c>
      <c r="T129" s="14">
        <f t="shared" si="185"/>
        <v>-770.20833333333337</v>
      </c>
      <c r="U129" s="56">
        <f t="shared" si="186"/>
        <v>0</v>
      </c>
      <c r="V129" s="16">
        <v>0</v>
      </c>
      <c r="W129" s="15">
        <f t="shared" si="187"/>
        <v>0</v>
      </c>
      <c r="X129" s="16">
        <v>13763.75</v>
      </c>
      <c r="Y129" s="22">
        <f t="shared" si="188"/>
        <v>764.65277777777783</v>
      </c>
      <c r="Z129" s="15">
        <v>0</v>
      </c>
      <c r="AA129" s="16">
        <f t="shared" si="189"/>
        <v>-764.65277777777783</v>
      </c>
      <c r="AB129" s="58">
        <f t="shared" si="190"/>
        <v>0</v>
      </c>
      <c r="AC129" s="162">
        <f t="shared" si="191"/>
        <v>0</v>
      </c>
      <c r="AD129" s="163">
        <f t="shared" si="192"/>
        <v>0</v>
      </c>
      <c r="AE129" s="163">
        <f t="shared" si="193"/>
        <v>9209.1666666666661</v>
      </c>
      <c r="AF129" s="163">
        <f t="shared" si="194"/>
        <v>1534.8611111111113</v>
      </c>
      <c r="AG129" s="163">
        <f t="shared" si="195"/>
        <v>0</v>
      </c>
      <c r="AH129" s="163">
        <f t="shared" si="196"/>
        <v>-1534.8611111111113</v>
      </c>
    </row>
    <row r="130" spans="1:34" ht="16.5" customHeight="1" thickBot="1" x14ac:dyDescent="0.3">
      <c r="A130" s="9"/>
      <c r="B130" s="59" t="s">
        <v>162</v>
      </c>
      <c r="C130" s="61"/>
      <c r="D130" s="33"/>
      <c r="E130" s="33"/>
      <c r="F130" s="33"/>
      <c r="G130" s="46"/>
      <c r="H130" s="80">
        <f>SUM(H124:H129)</f>
        <v>20975</v>
      </c>
      <c r="I130" s="76">
        <f>SUM(I124:I129)</f>
        <v>5243.75</v>
      </c>
      <c r="J130" s="80">
        <f>SUM(J124:J129)</f>
        <v>221888.80000000002</v>
      </c>
      <c r="K130" s="79">
        <f t="shared" si="131"/>
        <v>12327.155555555557</v>
      </c>
      <c r="L130" s="77">
        <f>SUM(L124:L129)</f>
        <v>1074</v>
      </c>
      <c r="M130" s="80">
        <f t="shared" ref="M130" si="197">H130-(K130+L130+I130)</f>
        <v>2330.0944444444431</v>
      </c>
      <c r="N130" s="81">
        <f t="shared" si="149"/>
        <v>9.4529331809446893E-2</v>
      </c>
      <c r="O130" s="95">
        <f>SUM(O124:O129)</f>
        <v>31180</v>
      </c>
      <c r="P130" s="82">
        <f>SUM(P124:P129)</f>
        <v>7795</v>
      </c>
      <c r="Q130" s="95">
        <f>SUM(Q124:Q129)</f>
        <v>182033.75</v>
      </c>
      <c r="R130" s="84">
        <f t="shared" ref="R130" si="198">Q130/18</f>
        <v>10112.986111111111</v>
      </c>
      <c r="S130" s="83">
        <f>SUM(S124:S129)</f>
        <v>4462.7151094092878</v>
      </c>
      <c r="T130" s="95">
        <f t="shared" ref="T130" si="199">O130-(R130+S130+P130)</f>
        <v>8809.298779479599</v>
      </c>
      <c r="U130" s="85">
        <f t="shared" si="150"/>
        <v>0.17128691794790801</v>
      </c>
      <c r="V130" s="97">
        <f>SUM(V124:V129)</f>
        <v>27190</v>
      </c>
      <c r="W130" s="86">
        <f>SUM(W124:W129)</f>
        <v>6797.5</v>
      </c>
      <c r="X130" s="97">
        <f>SUM(X124:X129)</f>
        <v>132563</v>
      </c>
      <c r="Y130" s="88">
        <f t="shared" ref="Y130" si="200">X130/18</f>
        <v>7364.6111111111113</v>
      </c>
      <c r="Z130" s="87">
        <f>SUM(Z124:Z129)</f>
        <v>8497.1792879141121</v>
      </c>
      <c r="AA130" s="97">
        <f t="shared" ref="AA130" si="201">V130-(Y130+Z130+W130)</f>
        <v>4530.7096009747765</v>
      </c>
      <c r="AB130" s="89">
        <f t="shared" si="151"/>
        <v>0.20511002315879998</v>
      </c>
      <c r="AC130" s="164">
        <f>SUM(AC124:AC129)</f>
        <v>79345</v>
      </c>
      <c r="AD130" s="165">
        <f>SUM(AD124:AD129)</f>
        <v>19836.25</v>
      </c>
      <c r="AE130" s="164">
        <f>SUM(AE124:AE129)</f>
        <v>111857.25</v>
      </c>
      <c r="AF130" s="168">
        <f>SUM(AF124:AF129)</f>
        <v>29804.75277777778</v>
      </c>
      <c r="AG130" s="168">
        <f>SUM(AG124:AG129)</f>
        <v>14033.8943973234</v>
      </c>
      <c r="AH130" s="164">
        <f t="shared" ref="AH130" si="202">AC130-(AF130+AG130+AD130)</f>
        <v>15670.102824898822</v>
      </c>
    </row>
    <row r="131" spans="1:34" ht="16.5" customHeight="1" x14ac:dyDescent="0.25">
      <c r="A131" s="9"/>
      <c r="B131" s="61"/>
      <c r="C131" s="61"/>
      <c r="D131" s="33"/>
      <c r="E131" s="33"/>
      <c r="F131" s="33"/>
      <c r="G131" s="46"/>
      <c r="H131" s="77"/>
      <c r="I131" s="77"/>
      <c r="J131" s="78"/>
      <c r="K131" s="79"/>
      <c r="L131" s="99">
        <f>IF(L130&gt;0,+L130/H130,"n/a")</f>
        <v>5.1203814064362335E-2</v>
      </c>
      <c r="M131" s="76"/>
      <c r="N131" s="81"/>
      <c r="O131" s="83"/>
      <c r="P131" s="83"/>
      <c r="Q131" s="82"/>
      <c r="R131" s="84"/>
      <c r="S131" s="106">
        <f>IF(S130&gt;0,+S130/O130,"n/a")</f>
        <v>0.14312748907662887</v>
      </c>
      <c r="T131" s="82"/>
      <c r="U131" s="85"/>
      <c r="V131" s="87"/>
      <c r="W131" s="87"/>
      <c r="X131" s="86"/>
      <c r="Y131" s="88"/>
      <c r="Z131" s="107">
        <f>IF(Z130&gt;0,+Z130/V130,"n/a")</f>
        <v>0.31251119117006665</v>
      </c>
      <c r="AA131" s="86"/>
      <c r="AB131" s="89"/>
      <c r="AC131" s="169"/>
      <c r="AD131" s="167"/>
      <c r="AE131" s="167"/>
      <c r="AF131" s="167"/>
      <c r="AG131" s="167"/>
      <c r="AH131" s="167"/>
    </row>
    <row r="132" spans="1:34" ht="16.5" customHeight="1" x14ac:dyDescent="0.25">
      <c r="A132" s="9"/>
      <c r="B132" s="70" t="s">
        <v>7</v>
      </c>
      <c r="C132" s="70" t="s">
        <v>21</v>
      </c>
      <c r="D132" s="31" t="s">
        <v>70</v>
      </c>
      <c r="E132" s="31" t="s">
        <v>133</v>
      </c>
      <c r="F132" s="31">
        <v>2026</v>
      </c>
      <c r="G132" s="126">
        <v>0.35</v>
      </c>
      <c r="H132" s="12">
        <v>69400</v>
      </c>
      <c r="I132" s="11">
        <f t="shared" ref="I132:I147" si="203">+H132*$G$181</f>
        <v>12492</v>
      </c>
      <c r="J132" s="45">
        <v>142893.79999999999</v>
      </c>
      <c r="K132" s="20">
        <f t="shared" ref="K132:K156" si="204">J132/18</f>
        <v>7938.5444444444438</v>
      </c>
      <c r="L132" s="11">
        <f>IF(N132&gt;=0.25,+H132*(+$G132+0.05),+H132*$G132)</f>
        <v>27759.999999999996</v>
      </c>
      <c r="M132" s="12">
        <f t="shared" ref="M132:M156" si="205">H132-(K132+L132+I132)</f>
        <v>21209.455555555556</v>
      </c>
      <c r="N132" s="54">
        <f t="shared" ref="N132:N157" si="206">IF(H132&gt;0,IF(J132&gt;0,+H132/J132,"n/m"),0)</f>
        <v>0.48567537569859576</v>
      </c>
      <c r="O132" s="14">
        <v>28050</v>
      </c>
      <c r="P132" s="13">
        <f t="shared" ref="P132:P145" si="207">+O132*$G$181</f>
        <v>5049</v>
      </c>
      <c r="Q132" s="14">
        <v>115590</v>
      </c>
      <c r="R132" s="21">
        <f t="shared" ref="R132:R156" si="208">Q132/18</f>
        <v>6421.666666666667</v>
      </c>
      <c r="S132" s="13">
        <f>IF(U132&gt;=0.25,+O132*(+$G132+0.05),+O132*$G132)</f>
        <v>9817.5</v>
      </c>
      <c r="T132" s="14">
        <f t="shared" ref="T132:T156" si="209">O132-(R132+S132+P132)</f>
        <v>6761.8333333333321</v>
      </c>
      <c r="U132" s="56">
        <f t="shared" ref="U132:U157" si="210">IF(O132&gt;0,IF(Q132&gt;0,+O132/Q132,"n/m"),0)</f>
        <v>0.24266805086945237</v>
      </c>
      <c r="V132" s="16">
        <v>15000</v>
      </c>
      <c r="W132" s="15">
        <f t="shared" ref="W132:W145" si="211">+V132*$G$181</f>
        <v>2700</v>
      </c>
      <c r="X132" s="16">
        <v>79894.5</v>
      </c>
      <c r="Y132" s="22">
        <f t="shared" ref="Y132:Y156" si="212">X132/18</f>
        <v>4438.583333333333</v>
      </c>
      <c r="Z132" s="15">
        <f>IF(AB132&gt;=0.25,+V132*(+$G132+0.05),+V132*$G132)</f>
        <v>5250</v>
      </c>
      <c r="AA132" s="16">
        <f t="shared" ref="AA132:AA156" si="213">V132-(Y132+Z132+W132)</f>
        <v>2611.4166666666679</v>
      </c>
      <c r="AB132" s="58">
        <f t="shared" ref="AB132:AB157" si="214">IF(V132&gt;0,IF(X132&gt;0,+V132/X132,"n/m"),0)</f>
        <v>0.18774759213713085</v>
      </c>
      <c r="AC132" s="162">
        <f t="shared" ref="AC132:AC156" si="215">+H132+O132+V132</f>
        <v>112450</v>
      </c>
      <c r="AD132" s="163">
        <f t="shared" ref="AD132:AD156" si="216">+I132+P132+W132</f>
        <v>20241</v>
      </c>
      <c r="AE132" s="163">
        <f t="shared" ref="AE132:AE156" si="217">(+H132+Q132+X132)/3</f>
        <v>88294.833333333328</v>
      </c>
      <c r="AF132" s="163">
        <f t="shared" ref="AF132:AF156" si="218">+K132+R132+Y132</f>
        <v>18798.794444444444</v>
      </c>
      <c r="AG132" s="163">
        <f t="shared" ref="AG132:AG156" si="219">+L132+S132+Z132</f>
        <v>42827.5</v>
      </c>
      <c r="AH132" s="163">
        <f t="shared" ref="AH132:AH156" si="220">+AC132-AD132-AF132-AG132</f>
        <v>30582.705555555556</v>
      </c>
    </row>
    <row r="133" spans="1:34" ht="16.5" customHeight="1" x14ac:dyDescent="0.25">
      <c r="A133" s="9"/>
      <c r="B133" s="70" t="s">
        <v>6</v>
      </c>
      <c r="C133" s="70" t="s">
        <v>20</v>
      </c>
      <c r="D133" s="31" t="s">
        <v>70</v>
      </c>
      <c r="E133" s="31" t="s">
        <v>133</v>
      </c>
      <c r="F133" s="31">
        <v>2134</v>
      </c>
      <c r="G133" s="126">
        <v>0.35</v>
      </c>
      <c r="H133" s="12">
        <v>0</v>
      </c>
      <c r="I133" s="11">
        <f t="shared" si="203"/>
        <v>0</v>
      </c>
      <c r="J133" s="45">
        <v>17282</v>
      </c>
      <c r="K133" s="20">
        <f t="shared" si="204"/>
        <v>960.11111111111109</v>
      </c>
      <c r="L133" s="11">
        <f>IF(+H133&gt;0,+H133*$G133,0)</f>
        <v>0</v>
      </c>
      <c r="M133" s="12">
        <f t="shared" si="205"/>
        <v>-960.11111111111109</v>
      </c>
      <c r="N133" s="54">
        <f t="shared" si="206"/>
        <v>0</v>
      </c>
      <c r="O133" s="14">
        <v>0</v>
      </c>
      <c r="P133" s="13">
        <f t="shared" si="207"/>
        <v>0</v>
      </c>
      <c r="Q133" s="14">
        <v>17034</v>
      </c>
      <c r="R133" s="21">
        <f t="shared" si="208"/>
        <v>946.33333333333337</v>
      </c>
      <c r="S133" s="13">
        <f>IF(+O133&gt;0,+O133*$G133,0)</f>
        <v>0</v>
      </c>
      <c r="T133" s="14">
        <f t="shared" si="209"/>
        <v>-946.33333333333337</v>
      </c>
      <c r="U133" s="56">
        <f t="shared" si="210"/>
        <v>0</v>
      </c>
      <c r="V133" s="16">
        <v>0</v>
      </c>
      <c r="W133" s="15">
        <f t="shared" si="211"/>
        <v>0</v>
      </c>
      <c r="X133" s="16">
        <v>16749</v>
      </c>
      <c r="Y133" s="22">
        <f t="shared" si="212"/>
        <v>930.5</v>
      </c>
      <c r="Z133" s="15">
        <f>IF(+V133&gt;0,+V133*$G133,0)</f>
        <v>0</v>
      </c>
      <c r="AA133" s="16">
        <f t="shared" si="213"/>
        <v>-930.5</v>
      </c>
      <c r="AB133" s="58">
        <f t="shared" si="214"/>
        <v>0</v>
      </c>
      <c r="AC133" s="162">
        <f t="shared" si="215"/>
        <v>0</v>
      </c>
      <c r="AD133" s="163">
        <f t="shared" si="216"/>
        <v>0</v>
      </c>
      <c r="AE133" s="163">
        <f t="shared" si="217"/>
        <v>11261</v>
      </c>
      <c r="AF133" s="163">
        <f t="shared" si="218"/>
        <v>2836.9444444444443</v>
      </c>
      <c r="AG133" s="163">
        <f t="shared" si="219"/>
        <v>0</v>
      </c>
      <c r="AH133" s="163">
        <f t="shared" si="220"/>
        <v>-2836.9444444444443</v>
      </c>
    </row>
    <row r="134" spans="1:34" ht="16.5" customHeight="1" x14ac:dyDescent="0.25">
      <c r="A134" s="17"/>
      <c r="B134" s="69" t="s">
        <v>14</v>
      </c>
      <c r="C134" s="69" t="s">
        <v>22</v>
      </c>
      <c r="D134" s="31" t="s">
        <v>70</v>
      </c>
      <c r="E134" s="31" t="s">
        <v>133</v>
      </c>
      <c r="F134" s="32">
        <v>2516</v>
      </c>
      <c r="G134" s="127">
        <v>0.45</v>
      </c>
      <c r="H134" s="12">
        <v>52064.13</v>
      </c>
      <c r="I134" s="11">
        <f t="shared" si="203"/>
        <v>9371.5433999999987</v>
      </c>
      <c r="J134" s="45">
        <v>527479.4</v>
      </c>
      <c r="K134" s="20">
        <f t="shared" si="204"/>
        <v>29304.411111111112</v>
      </c>
      <c r="L134" s="11">
        <f>IF(+H134&gt;0,+H134*$G134,0)</f>
        <v>23428.858499999998</v>
      </c>
      <c r="M134" s="12">
        <f t="shared" si="205"/>
        <v>-10040.683011111112</v>
      </c>
      <c r="N134" s="54">
        <f t="shared" si="206"/>
        <v>9.8703627098991914E-2</v>
      </c>
      <c r="O134" s="14">
        <v>29852.7</v>
      </c>
      <c r="P134" s="13">
        <f t="shared" si="207"/>
        <v>5373.4859999999999</v>
      </c>
      <c r="Q134" s="14">
        <v>559222.75</v>
      </c>
      <c r="R134" s="21">
        <f t="shared" si="208"/>
        <v>31067.930555555555</v>
      </c>
      <c r="S134" s="13">
        <f>IF(+O134&gt;0,+O134*$G134,0)</f>
        <v>13433.715</v>
      </c>
      <c r="T134" s="14">
        <f t="shared" si="209"/>
        <v>-20022.431555555555</v>
      </c>
      <c r="U134" s="56">
        <f t="shared" si="210"/>
        <v>5.3382484886389192E-2</v>
      </c>
      <c r="V134" s="16">
        <v>73031.64</v>
      </c>
      <c r="W134" s="15">
        <f t="shared" si="211"/>
        <v>13145.6952</v>
      </c>
      <c r="X134" s="16">
        <v>444584.25</v>
      </c>
      <c r="Y134" s="22">
        <f t="shared" si="212"/>
        <v>24699.125</v>
      </c>
      <c r="Z134" s="15">
        <f>IF(+V134&gt;0,+V134*$G134,0)</f>
        <v>32864.237999999998</v>
      </c>
      <c r="AA134" s="16">
        <f t="shared" si="213"/>
        <v>2322.5817999999999</v>
      </c>
      <c r="AB134" s="58">
        <f t="shared" si="214"/>
        <v>0.16426951697006811</v>
      </c>
      <c r="AC134" s="162">
        <f t="shared" si="215"/>
        <v>154948.47</v>
      </c>
      <c r="AD134" s="163">
        <f t="shared" si="216"/>
        <v>27890.724600000001</v>
      </c>
      <c r="AE134" s="163">
        <f t="shared" si="217"/>
        <v>351957.04333333328</v>
      </c>
      <c r="AF134" s="163">
        <f t="shared" si="218"/>
        <v>85071.466666666674</v>
      </c>
      <c r="AG134" s="163">
        <f t="shared" si="219"/>
        <v>69726.811499999996</v>
      </c>
      <c r="AH134" s="163">
        <f t="shared" si="220"/>
        <v>-27740.532766666671</v>
      </c>
    </row>
    <row r="135" spans="1:34" ht="16.5" customHeight="1" x14ac:dyDescent="0.25">
      <c r="A135" s="9"/>
      <c r="B135" s="70" t="s">
        <v>141</v>
      </c>
      <c r="C135" s="70" t="s">
        <v>142</v>
      </c>
      <c r="D135" s="31" t="s">
        <v>70</v>
      </c>
      <c r="E135" s="31" t="s">
        <v>133</v>
      </c>
      <c r="F135" s="31">
        <v>2242</v>
      </c>
      <c r="G135" s="126">
        <v>0.35</v>
      </c>
      <c r="H135" s="12">
        <v>0</v>
      </c>
      <c r="I135" s="11">
        <f t="shared" si="203"/>
        <v>0</v>
      </c>
      <c r="J135" s="45">
        <v>150</v>
      </c>
      <c r="K135" s="20">
        <f t="shared" si="204"/>
        <v>8.3333333333333339</v>
      </c>
      <c r="L135" s="11">
        <f>IF(+H135&gt;=25000,0.4*H135,0.35*H135)</f>
        <v>0</v>
      </c>
      <c r="M135" s="37">
        <f t="shared" si="205"/>
        <v>-8.3333333333333339</v>
      </c>
      <c r="N135" s="54">
        <f t="shared" si="206"/>
        <v>0</v>
      </c>
      <c r="O135" s="14">
        <v>0</v>
      </c>
      <c r="P135" s="13">
        <f t="shared" si="207"/>
        <v>0</v>
      </c>
      <c r="Q135" s="14">
        <v>150</v>
      </c>
      <c r="R135" s="21">
        <f t="shared" si="208"/>
        <v>8.3333333333333339</v>
      </c>
      <c r="S135" s="13">
        <f>IF(+O135&gt;=25000,0.4*O135,0.35*O135)</f>
        <v>0</v>
      </c>
      <c r="T135" s="14">
        <f t="shared" si="209"/>
        <v>-8.3333333333333339</v>
      </c>
      <c r="U135" s="56">
        <f t="shared" si="210"/>
        <v>0</v>
      </c>
      <c r="V135" s="16">
        <v>0</v>
      </c>
      <c r="W135" s="15">
        <f t="shared" si="211"/>
        <v>0</v>
      </c>
      <c r="X135" s="16">
        <v>150</v>
      </c>
      <c r="Y135" s="22">
        <f t="shared" si="212"/>
        <v>8.3333333333333339</v>
      </c>
      <c r="Z135" s="15">
        <f>IF(+V135&gt;=25000,0.4*V135,0.35*V135)</f>
        <v>0</v>
      </c>
      <c r="AA135" s="16">
        <f t="shared" si="213"/>
        <v>-8.3333333333333339</v>
      </c>
      <c r="AB135" s="58">
        <f t="shared" si="214"/>
        <v>0</v>
      </c>
      <c r="AC135" s="162">
        <f t="shared" si="215"/>
        <v>0</v>
      </c>
      <c r="AD135" s="163">
        <f t="shared" si="216"/>
        <v>0</v>
      </c>
      <c r="AE135" s="163">
        <f t="shared" si="217"/>
        <v>100</v>
      </c>
      <c r="AF135" s="163">
        <f t="shared" si="218"/>
        <v>25</v>
      </c>
      <c r="AG135" s="163">
        <f t="shared" si="219"/>
        <v>0</v>
      </c>
      <c r="AH135" s="163">
        <f t="shared" si="220"/>
        <v>-25</v>
      </c>
    </row>
    <row r="136" spans="1:34" ht="16.5" customHeight="1" x14ac:dyDescent="0.25">
      <c r="A136" s="9"/>
      <c r="B136" s="70" t="s">
        <v>58</v>
      </c>
      <c r="C136" s="70" t="s">
        <v>59</v>
      </c>
      <c r="D136" s="31" t="s">
        <v>70</v>
      </c>
      <c r="E136" s="31" t="s">
        <v>133</v>
      </c>
      <c r="F136" s="31">
        <v>2272</v>
      </c>
      <c r="G136" s="126">
        <v>0.45</v>
      </c>
      <c r="H136" s="12">
        <v>0</v>
      </c>
      <c r="I136" s="11">
        <f t="shared" si="203"/>
        <v>0</v>
      </c>
      <c r="J136" s="45">
        <v>12907</v>
      </c>
      <c r="K136" s="20">
        <f t="shared" si="204"/>
        <v>717.05555555555554</v>
      </c>
      <c r="L136" s="11">
        <v>0</v>
      </c>
      <c r="M136" s="37">
        <f t="shared" si="205"/>
        <v>-717.05555555555554</v>
      </c>
      <c r="N136" s="54">
        <f t="shared" si="206"/>
        <v>0</v>
      </c>
      <c r="O136" s="14">
        <v>0</v>
      </c>
      <c r="P136" s="13">
        <f t="shared" si="207"/>
        <v>0</v>
      </c>
      <c r="Q136" s="14">
        <v>103</v>
      </c>
      <c r="R136" s="21">
        <f t="shared" si="208"/>
        <v>5.7222222222222223</v>
      </c>
      <c r="S136" s="13">
        <v>0</v>
      </c>
      <c r="T136" s="14">
        <f t="shared" si="209"/>
        <v>-5.7222222222222223</v>
      </c>
      <c r="U136" s="56">
        <f t="shared" si="210"/>
        <v>0</v>
      </c>
      <c r="V136" s="16">
        <v>0</v>
      </c>
      <c r="W136" s="15">
        <f t="shared" si="211"/>
        <v>0</v>
      </c>
      <c r="X136" s="16">
        <v>103</v>
      </c>
      <c r="Y136" s="22">
        <f t="shared" si="212"/>
        <v>5.7222222222222223</v>
      </c>
      <c r="Z136" s="15">
        <v>0</v>
      </c>
      <c r="AA136" s="16">
        <f t="shared" si="213"/>
        <v>-5.7222222222222223</v>
      </c>
      <c r="AB136" s="58">
        <f t="shared" si="214"/>
        <v>0</v>
      </c>
      <c r="AC136" s="162">
        <f t="shared" si="215"/>
        <v>0</v>
      </c>
      <c r="AD136" s="163">
        <f t="shared" si="216"/>
        <v>0</v>
      </c>
      <c r="AE136" s="163">
        <f t="shared" si="217"/>
        <v>68.666666666666671</v>
      </c>
      <c r="AF136" s="163">
        <f t="shared" si="218"/>
        <v>728.49999999999989</v>
      </c>
      <c r="AG136" s="163">
        <f t="shared" si="219"/>
        <v>0</v>
      </c>
      <c r="AH136" s="163">
        <f t="shared" si="220"/>
        <v>-728.49999999999989</v>
      </c>
    </row>
    <row r="137" spans="1:34" ht="16.5" customHeight="1" x14ac:dyDescent="0.25">
      <c r="A137" s="9"/>
      <c r="B137" s="70" t="s">
        <v>143</v>
      </c>
      <c r="C137" s="70" t="s">
        <v>144</v>
      </c>
      <c r="D137" s="31" t="s">
        <v>70</v>
      </c>
      <c r="E137" s="31" t="s">
        <v>133</v>
      </c>
      <c r="F137" s="31">
        <v>2323</v>
      </c>
      <c r="G137" s="126">
        <v>0.35</v>
      </c>
      <c r="H137" s="12">
        <v>0</v>
      </c>
      <c r="I137" s="11">
        <f t="shared" si="203"/>
        <v>0</v>
      </c>
      <c r="J137" s="45">
        <v>9447</v>
      </c>
      <c r="K137" s="20">
        <f t="shared" si="204"/>
        <v>524.83333333333337</v>
      </c>
      <c r="L137" s="11">
        <f>IF(+H137&gt;=30000,0.4*H137,0.35*H137)</f>
        <v>0</v>
      </c>
      <c r="M137" s="12">
        <f t="shared" si="205"/>
        <v>-524.83333333333337</v>
      </c>
      <c r="N137" s="54">
        <f t="shared" si="206"/>
        <v>0</v>
      </c>
      <c r="O137" s="14">
        <v>0</v>
      </c>
      <c r="P137" s="13">
        <f t="shared" si="207"/>
        <v>0</v>
      </c>
      <c r="Q137" s="14">
        <v>7662</v>
      </c>
      <c r="R137" s="21">
        <f t="shared" si="208"/>
        <v>425.66666666666669</v>
      </c>
      <c r="S137" s="13">
        <f>IF(+O137&gt;=30000,0.4*O137,0.35*O137)</f>
        <v>0</v>
      </c>
      <c r="T137" s="14">
        <f t="shared" si="209"/>
        <v>-425.66666666666669</v>
      </c>
      <c r="U137" s="56">
        <f t="shared" si="210"/>
        <v>0</v>
      </c>
      <c r="V137" s="16">
        <v>0</v>
      </c>
      <c r="W137" s="15">
        <f t="shared" si="211"/>
        <v>0</v>
      </c>
      <c r="X137" s="16">
        <v>7662</v>
      </c>
      <c r="Y137" s="22">
        <f t="shared" si="212"/>
        <v>425.66666666666669</v>
      </c>
      <c r="Z137" s="15">
        <f>IF(+V137&gt;=30000,0.4*V137,0.35*V137)</f>
        <v>0</v>
      </c>
      <c r="AA137" s="16">
        <f t="shared" si="213"/>
        <v>-425.66666666666669</v>
      </c>
      <c r="AB137" s="58">
        <f t="shared" si="214"/>
        <v>0</v>
      </c>
      <c r="AC137" s="162">
        <f t="shared" si="215"/>
        <v>0</v>
      </c>
      <c r="AD137" s="163">
        <f t="shared" si="216"/>
        <v>0</v>
      </c>
      <c r="AE137" s="163">
        <f t="shared" si="217"/>
        <v>5108</v>
      </c>
      <c r="AF137" s="163">
        <f t="shared" si="218"/>
        <v>1376.1666666666667</v>
      </c>
      <c r="AG137" s="163">
        <f t="shared" si="219"/>
        <v>0</v>
      </c>
      <c r="AH137" s="163">
        <f t="shared" si="220"/>
        <v>-1376.1666666666667</v>
      </c>
    </row>
    <row r="138" spans="1:34" ht="16.5" customHeight="1" x14ac:dyDescent="0.25">
      <c r="A138" s="9"/>
      <c r="B138" s="69" t="s">
        <v>66</v>
      </c>
      <c r="C138" s="69" t="s">
        <v>67</v>
      </c>
      <c r="D138" s="32" t="s">
        <v>82</v>
      </c>
      <c r="E138" s="31" t="s">
        <v>133</v>
      </c>
      <c r="F138" s="32">
        <v>2894</v>
      </c>
      <c r="G138" s="127">
        <v>0.35</v>
      </c>
      <c r="H138" s="12">
        <v>11070</v>
      </c>
      <c r="I138" s="11">
        <f t="shared" si="203"/>
        <v>1992.6</v>
      </c>
      <c r="J138" s="45">
        <v>73629.399999999994</v>
      </c>
      <c r="K138" s="20">
        <f t="shared" si="204"/>
        <v>4090.5222222222219</v>
      </c>
      <c r="L138" s="11">
        <f>IF(+N138&gt;=95000,+H138*0.4,H138*0.35)</f>
        <v>3874.4999999999995</v>
      </c>
      <c r="M138" s="12">
        <f t="shared" si="205"/>
        <v>1112.3777777777777</v>
      </c>
      <c r="N138" s="54">
        <f t="shared" si="206"/>
        <v>0.15034755138572364</v>
      </c>
      <c r="O138" s="14">
        <v>4240</v>
      </c>
      <c r="P138" s="13">
        <f t="shared" si="207"/>
        <v>763.19999999999993</v>
      </c>
      <c r="Q138" s="14">
        <v>66844.75</v>
      </c>
      <c r="R138" s="21">
        <f t="shared" si="208"/>
        <v>3713.5972222222222</v>
      </c>
      <c r="S138" s="13">
        <f>IF(+U138&gt;=95000,+O138*0.4,O138*0.35)</f>
        <v>1484</v>
      </c>
      <c r="T138" s="14">
        <f t="shared" si="209"/>
        <v>-1720.7972222222224</v>
      </c>
      <c r="U138" s="56">
        <f t="shared" si="210"/>
        <v>6.3430561113625231E-2</v>
      </c>
      <c r="V138" s="16">
        <v>18135</v>
      </c>
      <c r="W138" s="15">
        <f t="shared" si="211"/>
        <v>3264.2999999999997</v>
      </c>
      <c r="X138" s="16">
        <v>71041.75</v>
      </c>
      <c r="Y138" s="22">
        <f t="shared" si="212"/>
        <v>3946.7638888888887</v>
      </c>
      <c r="Z138" s="15">
        <f>IF(+AB138&gt;=95000,+V138*0.4,V138*0.35)</f>
        <v>6347.25</v>
      </c>
      <c r="AA138" s="16">
        <f t="shared" si="213"/>
        <v>4576.686111111112</v>
      </c>
      <c r="AB138" s="58">
        <f t="shared" si="214"/>
        <v>0.25527242783292925</v>
      </c>
      <c r="AC138" s="162">
        <f t="shared" si="215"/>
        <v>33445</v>
      </c>
      <c r="AD138" s="163">
        <f t="shared" si="216"/>
        <v>6020.0999999999995</v>
      </c>
      <c r="AE138" s="163">
        <f t="shared" si="217"/>
        <v>49652.166666666664</v>
      </c>
      <c r="AF138" s="163">
        <f t="shared" si="218"/>
        <v>11750.883333333333</v>
      </c>
      <c r="AG138" s="163">
        <f t="shared" si="219"/>
        <v>11705.75</v>
      </c>
      <c r="AH138" s="163">
        <f t="shared" si="220"/>
        <v>3968.2666666666682</v>
      </c>
    </row>
    <row r="139" spans="1:34" ht="16.5" customHeight="1" x14ac:dyDescent="0.25">
      <c r="A139" s="9"/>
      <c r="B139" s="70" t="s">
        <v>62</v>
      </c>
      <c r="C139" s="70" t="s">
        <v>63</v>
      </c>
      <c r="D139" s="31" t="s">
        <v>70</v>
      </c>
      <c r="E139" s="31" t="s">
        <v>133</v>
      </c>
      <c r="F139" s="31">
        <v>2449</v>
      </c>
      <c r="G139" s="127">
        <v>0.35</v>
      </c>
      <c r="H139" s="12">
        <v>74575</v>
      </c>
      <c r="I139" s="11">
        <f t="shared" si="203"/>
        <v>13423.5</v>
      </c>
      <c r="J139" s="45">
        <v>112963</v>
      </c>
      <c r="K139" s="20">
        <f t="shared" si="204"/>
        <v>6275.7222222222226</v>
      </c>
      <c r="L139" s="11">
        <f>IF(+N139&gt;=20000,+H139*0.4,H139*0.35)</f>
        <v>26101.25</v>
      </c>
      <c r="M139" s="12">
        <f t="shared" si="205"/>
        <v>28774.527777777781</v>
      </c>
      <c r="N139" s="54">
        <f t="shared" si="206"/>
        <v>0.66017191469773284</v>
      </c>
      <c r="O139" s="14">
        <v>47940</v>
      </c>
      <c r="P139" s="13">
        <f t="shared" si="207"/>
        <v>8629.1999999999989</v>
      </c>
      <c r="Q139" s="14">
        <v>137743.5</v>
      </c>
      <c r="R139" s="21">
        <f t="shared" si="208"/>
        <v>7652.416666666667</v>
      </c>
      <c r="S139" s="13">
        <f>IF(+U139&gt;=20000,+O139*0.4,O139*0.35)</f>
        <v>16779</v>
      </c>
      <c r="T139" s="14">
        <f t="shared" si="209"/>
        <v>14879.383333333331</v>
      </c>
      <c r="U139" s="56">
        <f t="shared" si="210"/>
        <v>0.34803820143963238</v>
      </c>
      <c r="V139" s="16">
        <v>32462</v>
      </c>
      <c r="W139" s="15">
        <f t="shared" si="211"/>
        <v>5843.16</v>
      </c>
      <c r="X139" s="16">
        <v>164184</v>
      </c>
      <c r="Y139" s="22">
        <f t="shared" si="212"/>
        <v>9121.3333333333339</v>
      </c>
      <c r="Z139" s="15">
        <f>IF(+AB139&gt;=20000,+V139*0.4,V139*0.35)</f>
        <v>11361.699999999999</v>
      </c>
      <c r="AA139" s="16">
        <f t="shared" si="213"/>
        <v>6135.8066666666673</v>
      </c>
      <c r="AB139" s="58">
        <f t="shared" si="214"/>
        <v>0.19771719534181162</v>
      </c>
      <c r="AC139" s="162">
        <f t="shared" si="215"/>
        <v>154977</v>
      </c>
      <c r="AD139" s="163">
        <f t="shared" si="216"/>
        <v>27895.859999999997</v>
      </c>
      <c r="AE139" s="163">
        <f t="shared" si="217"/>
        <v>125500.83333333333</v>
      </c>
      <c r="AF139" s="163">
        <f t="shared" si="218"/>
        <v>23049.472222222226</v>
      </c>
      <c r="AG139" s="163">
        <f t="shared" si="219"/>
        <v>54241.95</v>
      </c>
      <c r="AH139" s="163">
        <f t="shared" si="220"/>
        <v>49789.717777777769</v>
      </c>
    </row>
    <row r="140" spans="1:34" ht="16.5" customHeight="1" x14ac:dyDescent="0.25">
      <c r="A140" s="9"/>
      <c r="B140" s="70" t="s">
        <v>108</v>
      </c>
      <c r="C140" s="70" t="s">
        <v>109</v>
      </c>
      <c r="D140" s="31" t="s">
        <v>82</v>
      </c>
      <c r="E140" s="31" t="s">
        <v>133</v>
      </c>
      <c r="F140" s="31">
        <v>2981</v>
      </c>
      <c r="G140" s="126">
        <v>0.37</v>
      </c>
      <c r="H140" s="12">
        <v>36330.5</v>
      </c>
      <c r="I140" s="11">
        <f t="shared" si="203"/>
        <v>6539.49</v>
      </c>
      <c r="J140" s="45">
        <v>191495.8</v>
      </c>
      <c r="K140" s="20">
        <f t="shared" si="204"/>
        <v>10638.655555555555</v>
      </c>
      <c r="L140" s="11">
        <f>IF(+N140&gt;=85000,+H140*0.42,H140*0.37)</f>
        <v>13442.285</v>
      </c>
      <c r="M140" s="12">
        <f t="shared" si="205"/>
        <v>5710.0694444444453</v>
      </c>
      <c r="N140" s="54">
        <f t="shared" si="206"/>
        <v>0.18971956565104822</v>
      </c>
      <c r="O140" s="14">
        <v>14280</v>
      </c>
      <c r="P140" s="13">
        <f t="shared" si="207"/>
        <v>2570.4</v>
      </c>
      <c r="Q140" s="14">
        <v>195056.25</v>
      </c>
      <c r="R140" s="21">
        <f t="shared" si="208"/>
        <v>10836.458333333334</v>
      </c>
      <c r="S140" s="13">
        <f>IF(+U140&gt;=85000,+O140*0.42,O140*0.37)</f>
        <v>5283.6</v>
      </c>
      <c r="T140" s="14">
        <f t="shared" si="209"/>
        <v>-4410.4583333333358</v>
      </c>
      <c r="U140" s="56">
        <f t="shared" si="210"/>
        <v>7.3209651062193598E-2</v>
      </c>
      <c r="V140" s="16">
        <v>24230</v>
      </c>
      <c r="W140" s="15">
        <f t="shared" si="211"/>
        <v>4361.3999999999996</v>
      </c>
      <c r="X140" s="16">
        <v>211291.25</v>
      </c>
      <c r="Y140" s="22">
        <f t="shared" si="212"/>
        <v>11738.402777777777</v>
      </c>
      <c r="Z140" s="15">
        <f>IF(+AB140&gt;=85000,+V140*0.42,V140*0.37)</f>
        <v>8965.1</v>
      </c>
      <c r="AA140" s="16">
        <f t="shared" si="213"/>
        <v>-834.90277777778101</v>
      </c>
      <c r="AB140" s="58">
        <f t="shared" si="214"/>
        <v>0.11467583252974271</v>
      </c>
      <c r="AC140" s="162">
        <f t="shared" si="215"/>
        <v>74840.5</v>
      </c>
      <c r="AD140" s="163">
        <f t="shared" si="216"/>
        <v>13471.289999999999</v>
      </c>
      <c r="AE140" s="163">
        <f t="shared" si="217"/>
        <v>147559.33333333334</v>
      </c>
      <c r="AF140" s="163">
        <f t="shared" si="218"/>
        <v>33213.516666666663</v>
      </c>
      <c r="AG140" s="163">
        <f t="shared" si="219"/>
        <v>27690.985000000001</v>
      </c>
      <c r="AH140" s="163">
        <f t="shared" si="220"/>
        <v>464.70833333333576</v>
      </c>
    </row>
    <row r="141" spans="1:34" ht="16.5" customHeight="1" x14ac:dyDescent="0.25">
      <c r="A141" s="9"/>
      <c r="B141" s="70" t="s">
        <v>168</v>
      </c>
      <c r="C141" s="70" t="s">
        <v>169</v>
      </c>
      <c r="D141" s="31" t="s">
        <v>82</v>
      </c>
      <c r="E141" s="31" t="s">
        <v>133</v>
      </c>
      <c r="F141" s="31">
        <v>2351</v>
      </c>
      <c r="G141" s="129">
        <v>0.4</v>
      </c>
      <c r="H141" s="12">
        <v>9045</v>
      </c>
      <c r="I141" s="11">
        <f t="shared" si="203"/>
        <v>1628.1</v>
      </c>
      <c r="J141" s="45">
        <v>109817.4</v>
      </c>
      <c r="K141" s="20">
        <f t="shared" si="204"/>
        <v>6100.9666666666662</v>
      </c>
      <c r="L141" s="11">
        <f>+H141*0.4</f>
        <v>3618</v>
      </c>
      <c r="M141" s="12">
        <f t="shared" si="205"/>
        <v>-2302.0666666666675</v>
      </c>
      <c r="N141" s="54">
        <f t="shared" si="206"/>
        <v>8.2363996962230027E-2</v>
      </c>
      <c r="O141" s="14">
        <v>8970</v>
      </c>
      <c r="P141" s="13">
        <f t="shared" si="207"/>
        <v>1614.6</v>
      </c>
      <c r="Q141" s="14">
        <v>101640.5</v>
      </c>
      <c r="R141" s="21">
        <f t="shared" si="208"/>
        <v>5646.6944444444443</v>
      </c>
      <c r="S141" s="13">
        <f>+O141*0.4</f>
        <v>3588</v>
      </c>
      <c r="T141" s="14">
        <f t="shared" si="209"/>
        <v>-1879.2944444444456</v>
      </c>
      <c r="U141" s="56">
        <f t="shared" si="210"/>
        <v>8.8252222293278768E-2</v>
      </c>
      <c r="V141" s="16">
        <v>13680</v>
      </c>
      <c r="W141" s="15">
        <f t="shared" si="211"/>
        <v>2462.4</v>
      </c>
      <c r="X141" s="16">
        <v>100181.5</v>
      </c>
      <c r="Y141" s="22">
        <f t="shared" si="212"/>
        <v>5565.6388888888887</v>
      </c>
      <c r="Z141" s="15">
        <f>+V141*0.4</f>
        <v>5472</v>
      </c>
      <c r="AA141" s="16">
        <f t="shared" si="213"/>
        <v>179.96111111111168</v>
      </c>
      <c r="AB141" s="58">
        <f t="shared" si="214"/>
        <v>0.13655215783353214</v>
      </c>
      <c r="AC141" s="162">
        <f t="shared" si="215"/>
        <v>31695</v>
      </c>
      <c r="AD141" s="163">
        <f t="shared" si="216"/>
        <v>5705.1</v>
      </c>
      <c r="AE141" s="163">
        <f t="shared" si="217"/>
        <v>70289</v>
      </c>
      <c r="AF141" s="163">
        <f t="shared" si="218"/>
        <v>17313.3</v>
      </c>
      <c r="AG141" s="163">
        <f t="shared" si="219"/>
        <v>12678</v>
      </c>
      <c r="AH141" s="163">
        <f t="shared" si="220"/>
        <v>-4001.3999999999978</v>
      </c>
    </row>
    <row r="142" spans="1:34" ht="16.5" customHeight="1" x14ac:dyDescent="0.25">
      <c r="A142" s="9"/>
      <c r="B142" s="70" t="s">
        <v>171</v>
      </c>
      <c r="C142" s="70" t="s">
        <v>172</v>
      </c>
      <c r="D142" s="31" t="s">
        <v>70</v>
      </c>
      <c r="E142" s="31" t="s">
        <v>133</v>
      </c>
      <c r="F142" s="31">
        <v>2353</v>
      </c>
      <c r="G142" s="130">
        <v>0.35</v>
      </c>
      <c r="H142" s="12">
        <v>0</v>
      </c>
      <c r="I142" s="11">
        <f t="shared" si="203"/>
        <v>0</v>
      </c>
      <c r="J142" s="45">
        <v>36</v>
      </c>
      <c r="K142" s="20">
        <f t="shared" si="204"/>
        <v>2</v>
      </c>
      <c r="L142" s="11"/>
      <c r="M142" s="12">
        <f t="shared" si="205"/>
        <v>-2</v>
      </c>
      <c r="N142" s="54">
        <f t="shared" si="206"/>
        <v>0</v>
      </c>
      <c r="O142" s="14">
        <v>0</v>
      </c>
      <c r="P142" s="13">
        <f t="shared" si="207"/>
        <v>0</v>
      </c>
      <c r="Q142" s="14">
        <v>45</v>
      </c>
      <c r="R142" s="21">
        <f t="shared" si="208"/>
        <v>2.5</v>
      </c>
      <c r="S142" s="13"/>
      <c r="T142" s="14">
        <f t="shared" si="209"/>
        <v>-2.5</v>
      </c>
      <c r="U142" s="56">
        <f t="shared" si="210"/>
        <v>0</v>
      </c>
      <c r="V142" s="16">
        <v>0</v>
      </c>
      <c r="W142" s="15">
        <f t="shared" si="211"/>
        <v>0</v>
      </c>
      <c r="X142" s="16">
        <v>45</v>
      </c>
      <c r="Y142" s="22">
        <f t="shared" si="212"/>
        <v>2.5</v>
      </c>
      <c r="Z142" s="15"/>
      <c r="AA142" s="16">
        <f t="shared" si="213"/>
        <v>-2.5</v>
      </c>
      <c r="AB142" s="58">
        <f t="shared" si="214"/>
        <v>0</v>
      </c>
      <c r="AC142" s="162">
        <f t="shared" si="215"/>
        <v>0</v>
      </c>
      <c r="AD142" s="163">
        <f t="shared" si="216"/>
        <v>0</v>
      </c>
      <c r="AE142" s="163">
        <f t="shared" si="217"/>
        <v>30</v>
      </c>
      <c r="AF142" s="163">
        <f t="shared" si="218"/>
        <v>7</v>
      </c>
      <c r="AG142" s="163">
        <f t="shared" si="219"/>
        <v>0</v>
      </c>
      <c r="AH142" s="163">
        <f t="shared" si="220"/>
        <v>-7</v>
      </c>
    </row>
    <row r="143" spans="1:34" ht="16.5" customHeight="1" x14ac:dyDescent="0.25">
      <c r="A143" s="9"/>
      <c r="B143" s="70" t="s">
        <v>122</v>
      </c>
      <c r="C143" s="70" t="s">
        <v>123</v>
      </c>
      <c r="D143" s="31" t="s">
        <v>70</v>
      </c>
      <c r="E143" s="31" t="s">
        <v>133</v>
      </c>
      <c r="F143" s="31">
        <v>2305</v>
      </c>
      <c r="G143" s="126">
        <v>0.4</v>
      </c>
      <c r="H143" s="12">
        <v>3000</v>
      </c>
      <c r="I143" s="11">
        <f t="shared" si="203"/>
        <v>540</v>
      </c>
      <c r="J143" s="45">
        <v>43224.800000000003</v>
      </c>
      <c r="K143" s="20">
        <f>J143/18</f>
        <v>2401.3777777777777</v>
      </c>
      <c r="L143" s="11"/>
      <c r="M143" s="12">
        <f>H143-(K143+L143+I143)</f>
        <v>58.622222222222263</v>
      </c>
      <c r="N143" s="54">
        <f>IF(H143&gt;0,IF(J143&gt;0,+H143/J143,"n/m"),0)</f>
        <v>6.9404601062353091E-2</v>
      </c>
      <c r="O143" s="14">
        <v>500</v>
      </c>
      <c r="P143" s="13">
        <f t="shared" si="207"/>
        <v>90</v>
      </c>
      <c r="Q143" s="14">
        <v>26715.5</v>
      </c>
      <c r="R143" s="21">
        <f>Q143/18</f>
        <v>1484.1944444444443</v>
      </c>
      <c r="S143" s="13"/>
      <c r="T143" s="14">
        <f>O143-(R143+S143+P143)</f>
        <v>-1074.1944444444443</v>
      </c>
      <c r="U143" s="56">
        <f>IF(O143&gt;0,IF(Q143&gt;0,+O143/Q143,"n/m"),0)</f>
        <v>1.8715726825251258E-2</v>
      </c>
      <c r="V143" s="16">
        <v>500</v>
      </c>
      <c r="W143" s="15">
        <f t="shared" si="211"/>
        <v>90</v>
      </c>
      <c r="X143" s="16">
        <v>26589.5</v>
      </c>
      <c r="Y143" s="22">
        <f>X143/18</f>
        <v>1477.1944444444443</v>
      </c>
      <c r="Z143" s="15"/>
      <c r="AA143" s="16">
        <f>V143-(Y143+Z143+W143)</f>
        <v>-1067.1944444444443</v>
      </c>
      <c r="AB143" s="58">
        <f>IF(V143&gt;0,IF(X143&gt;0,+V143/X143,"n/m"),0)</f>
        <v>1.8804415276706971E-2</v>
      </c>
      <c r="AC143" s="162">
        <f t="shared" si="215"/>
        <v>4000</v>
      </c>
      <c r="AD143" s="163">
        <f t="shared" si="216"/>
        <v>720</v>
      </c>
      <c r="AE143" s="163">
        <f t="shared" si="217"/>
        <v>18768.333333333332</v>
      </c>
      <c r="AF143" s="163">
        <f t="shared" si="218"/>
        <v>5362.7666666666664</v>
      </c>
      <c r="AG143" s="163">
        <f t="shared" si="219"/>
        <v>0</v>
      </c>
      <c r="AH143" s="163">
        <f t="shared" si="220"/>
        <v>-2082.7666666666664</v>
      </c>
    </row>
    <row r="144" spans="1:34" ht="16.5" customHeight="1" x14ac:dyDescent="0.25">
      <c r="A144" s="9"/>
      <c r="B144" s="70" t="s">
        <v>236</v>
      </c>
      <c r="C144" s="70" t="s">
        <v>237</v>
      </c>
      <c r="D144" s="31" t="s">
        <v>70</v>
      </c>
      <c r="E144" s="31" t="s">
        <v>133</v>
      </c>
      <c r="F144" s="31" t="s">
        <v>359</v>
      </c>
      <c r="G144" s="129">
        <v>0.4</v>
      </c>
      <c r="H144" s="12">
        <v>0</v>
      </c>
      <c r="I144" s="11">
        <f t="shared" si="203"/>
        <v>0</v>
      </c>
      <c r="J144" s="45">
        <v>910</v>
      </c>
      <c r="K144" s="20">
        <f t="shared" ref="K144:K147" si="221">J144/18</f>
        <v>50.555555555555557</v>
      </c>
      <c r="L144" s="11">
        <f>IF(N144&gt;=0.25,+H144*(+$G144+0.05),+H144*$G144)</f>
        <v>0</v>
      </c>
      <c r="M144" s="12">
        <f t="shared" ref="M144:M147" si="222">H144-(K144+L144+I144)</f>
        <v>-50.555555555555557</v>
      </c>
      <c r="N144" s="54">
        <f t="shared" ref="N144:N147" si="223">IF(H144&gt;0,IF(J144&gt;0,+H144/J144,"n/m"),0)</f>
        <v>0</v>
      </c>
      <c r="O144" s="14">
        <v>14680</v>
      </c>
      <c r="P144" s="13">
        <f t="shared" si="207"/>
        <v>2642.4</v>
      </c>
      <c r="Q144" s="14">
        <v>30865</v>
      </c>
      <c r="R144" s="21">
        <f t="shared" ref="R144:R147" si="224">Q144/18</f>
        <v>1714.7222222222222</v>
      </c>
      <c r="S144" s="13">
        <f>IF(U144&gt;=0.25,+O144*(+$G144+0.05),+O144*$G144)</f>
        <v>6606</v>
      </c>
      <c r="T144" s="14">
        <f t="shared" ref="T144:T147" si="225">O144-(R144+S144+P144)</f>
        <v>3716.8777777777777</v>
      </c>
      <c r="U144" s="56">
        <f t="shared" ref="U144:U147" si="226">IF(O144&gt;0,IF(Q144&gt;0,+O144/Q144,"n/m"),0)</f>
        <v>0.47561963388951889</v>
      </c>
      <c r="V144" s="16">
        <v>0</v>
      </c>
      <c r="W144" s="15">
        <f t="shared" si="211"/>
        <v>0</v>
      </c>
      <c r="X144" s="16">
        <v>735.75</v>
      </c>
      <c r="Y144" s="22">
        <f t="shared" ref="Y144:Y147" si="227">X144/18</f>
        <v>40.875</v>
      </c>
      <c r="Z144" s="15">
        <f>IF(AB144&gt;=0.25,+V144*(+$G144+0.05),+V144*$G144)</f>
        <v>0</v>
      </c>
      <c r="AA144" s="16">
        <f t="shared" ref="AA144:AA147" si="228">V144-(Y144+Z144+W144)</f>
        <v>-40.875</v>
      </c>
      <c r="AB144" s="58">
        <f t="shared" ref="AB144:AB147" si="229">IF(V144&gt;0,IF(X144&gt;0,+V144/X144,"n/m"),0)</f>
        <v>0</v>
      </c>
      <c r="AC144" s="162">
        <f t="shared" si="215"/>
        <v>14680</v>
      </c>
      <c r="AD144" s="163">
        <f t="shared" si="216"/>
        <v>2642.4</v>
      </c>
      <c r="AE144" s="163">
        <f t="shared" si="217"/>
        <v>10533.583333333334</v>
      </c>
      <c r="AF144" s="163">
        <f t="shared" si="218"/>
        <v>1806.1527777777778</v>
      </c>
      <c r="AG144" s="163">
        <f t="shared" si="219"/>
        <v>6606</v>
      </c>
      <c r="AH144" s="163">
        <f t="shared" si="220"/>
        <v>3625.447222222223</v>
      </c>
    </row>
    <row r="145" spans="1:34" ht="16.5" customHeight="1" x14ac:dyDescent="0.25">
      <c r="A145" s="9"/>
      <c r="B145" s="70" t="s">
        <v>239</v>
      </c>
      <c r="C145" s="70" t="s">
        <v>240</v>
      </c>
      <c r="D145" s="31" t="s">
        <v>70</v>
      </c>
      <c r="E145" s="31" t="s">
        <v>133</v>
      </c>
      <c r="F145" s="31">
        <v>2450</v>
      </c>
      <c r="G145" s="127">
        <v>0.4</v>
      </c>
      <c r="H145" s="12">
        <v>17937.5</v>
      </c>
      <c r="I145" s="11">
        <f t="shared" si="203"/>
        <v>3228.75</v>
      </c>
      <c r="J145" s="45">
        <v>330319.2</v>
      </c>
      <c r="K145" s="20">
        <f t="shared" si="221"/>
        <v>18351.066666666666</v>
      </c>
      <c r="L145" s="11">
        <f>IF(N145&gt;=0.25,+H145*(+$G145+0.05),+H145*$G145)</f>
        <v>7175</v>
      </c>
      <c r="M145" s="12">
        <f t="shared" si="222"/>
        <v>-10817.316666666666</v>
      </c>
      <c r="N145" s="54">
        <f t="shared" si="223"/>
        <v>5.4303534278358628E-2</v>
      </c>
      <c r="O145" s="14">
        <v>22770</v>
      </c>
      <c r="P145" s="13">
        <f t="shared" si="207"/>
        <v>4098.5999999999995</v>
      </c>
      <c r="Q145" s="14">
        <v>364955.25</v>
      </c>
      <c r="R145" s="21">
        <f t="shared" si="224"/>
        <v>20275.291666666668</v>
      </c>
      <c r="S145" s="13">
        <f>IF(U145&gt;=0.25,+O145*(+$G145+0.05),+O145*$G145)</f>
        <v>9108</v>
      </c>
      <c r="T145" s="14">
        <f t="shared" si="225"/>
        <v>-10711.89166666667</v>
      </c>
      <c r="U145" s="56">
        <f t="shared" si="226"/>
        <v>6.2391210977236253E-2</v>
      </c>
      <c r="V145" s="16">
        <v>22390</v>
      </c>
      <c r="W145" s="15">
        <f t="shared" si="211"/>
        <v>4030.2</v>
      </c>
      <c r="X145" s="16">
        <v>432323.5</v>
      </c>
      <c r="Y145" s="22">
        <f t="shared" si="227"/>
        <v>24017.972222222223</v>
      </c>
      <c r="Z145" s="15">
        <f>IF(AB145&gt;=0.25,+V145*(+$G145+0.05),+V145*$G145)</f>
        <v>8956</v>
      </c>
      <c r="AA145" s="16">
        <f t="shared" si="228"/>
        <v>-14614.172222222216</v>
      </c>
      <c r="AB145" s="58">
        <f t="shared" si="229"/>
        <v>5.1789921204838503E-2</v>
      </c>
      <c r="AC145" s="162">
        <f t="shared" si="215"/>
        <v>63097.5</v>
      </c>
      <c r="AD145" s="163">
        <f t="shared" si="216"/>
        <v>11357.55</v>
      </c>
      <c r="AE145" s="163">
        <f t="shared" si="217"/>
        <v>271738.75</v>
      </c>
      <c r="AF145" s="163">
        <f t="shared" si="218"/>
        <v>62644.330555555556</v>
      </c>
      <c r="AG145" s="163">
        <f t="shared" si="219"/>
        <v>25239</v>
      </c>
      <c r="AH145" s="163">
        <f t="shared" si="220"/>
        <v>-36143.380555555559</v>
      </c>
    </row>
    <row r="146" spans="1:34" ht="16.5" customHeight="1" x14ac:dyDescent="0.25">
      <c r="A146" s="9"/>
      <c r="B146" s="70" t="s">
        <v>266</v>
      </c>
      <c r="C146" s="70" t="s">
        <v>267</v>
      </c>
      <c r="D146" s="31" t="s">
        <v>70</v>
      </c>
      <c r="E146" s="31" t="s">
        <v>133</v>
      </c>
      <c r="F146" s="31"/>
      <c r="G146" s="127" t="s">
        <v>8</v>
      </c>
      <c r="H146" s="12">
        <v>0</v>
      </c>
      <c r="I146" s="11">
        <f t="shared" si="203"/>
        <v>0</v>
      </c>
      <c r="J146" s="45">
        <v>0</v>
      </c>
      <c r="K146" s="20">
        <f t="shared" si="221"/>
        <v>0</v>
      </c>
      <c r="L146" s="11">
        <v>0</v>
      </c>
      <c r="M146" s="12">
        <f t="shared" si="222"/>
        <v>0</v>
      </c>
      <c r="N146" s="54">
        <f t="shared" si="223"/>
        <v>0</v>
      </c>
      <c r="O146" s="14">
        <v>0</v>
      </c>
      <c r="P146" s="13">
        <f>+O146*0.25</f>
        <v>0</v>
      </c>
      <c r="Q146" s="14">
        <v>0</v>
      </c>
      <c r="R146" s="21">
        <f t="shared" si="224"/>
        <v>0</v>
      </c>
      <c r="S146" s="13">
        <v>0</v>
      </c>
      <c r="T146" s="14">
        <f t="shared" si="225"/>
        <v>0</v>
      </c>
      <c r="U146" s="56">
        <f t="shared" si="226"/>
        <v>0</v>
      </c>
      <c r="V146" s="16">
        <v>0</v>
      </c>
      <c r="W146" s="15">
        <f>+V146*0.25</f>
        <v>0</v>
      </c>
      <c r="X146" s="16">
        <v>0</v>
      </c>
      <c r="Y146" s="22">
        <f t="shared" si="227"/>
        <v>0</v>
      </c>
      <c r="Z146" s="15">
        <v>0</v>
      </c>
      <c r="AA146" s="16">
        <f t="shared" si="228"/>
        <v>0</v>
      </c>
      <c r="AB146" s="58">
        <f t="shared" si="229"/>
        <v>0</v>
      </c>
      <c r="AC146" s="162">
        <f t="shared" si="215"/>
        <v>0</v>
      </c>
      <c r="AD146" s="163">
        <f t="shared" si="216"/>
        <v>0</v>
      </c>
      <c r="AE146" s="163">
        <f t="shared" si="217"/>
        <v>0</v>
      </c>
      <c r="AF146" s="163">
        <f t="shared" si="218"/>
        <v>0</v>
      </c>
      <c r="AG146" s="163">
        <f t="shared" si="219"/>
        <v>0</v>
      </c>
      <c r="AH146" s="163">
        <f t="shared" si="220"/>
        <v>0</v>
      </c>
    </row>
    <row r="147" spans="1:34" ht="16.5" customHeight="1" x14ac:dyDescent="0.25">
      <c r="A147" s="9"/>
      <c r="B147" s="70" t="s">
        <v>319</v>
      </c>
      <c r="C147" s="70" t="s">
        <v>320</v>
      </c>
      <c r="D147" s="31" t="s">
        <v>318</v>
      </c>
      <c r="E147" s="31" t="s">
        <v>133</v>
      </c>
      <c r="F147" s="31">
        <v>2507</v>
      </c>
      <c r="G147" s="127">
        <v>0.4</v>
      </c>
      <c r="H147" s="12">
        <v>60280</v>
      </c>
      <c r="I147" s="11">
        <f t="shared" si="203"/>
        <v>10850.4</v>
      </c>
      <c r="J147" s="45">
        <v>288874.8</v>
      </c>
      <c r="K147" s="20">
        <f t="shared" si="221"/>
        <v>16048.599999999999</v>
      </c>
      <c r="L147" s="11">
        <f>IF(N147&gt;=0.25,+H147*(+$G147+0.05),+H147*$G147)</f>
        <v>24112</v>
      </c>
      <c r="M147" s="12">
        <f t="shared" si="222"/>
        <v>9269</v>
      </c>
      <c r="N147" s="54">
        <f t="shared" si="223"/>
        <v>0.20867171522057307</v>
      </c>
      <c r="O147" s="14">
        <v>27962.5</v>
      </c>
      <c r="P147" s="13">
        <f>+O147*0.25</f>
        <v>6990.625</v>
      </c>
      <c r="Q147" s="14">
        <v>283636.25</v>
      </c>
      <c r="R147" s="21">
        <f t="shared" si="224"/>
        <v>15757.569444444445</v>
      </c>
      <c r="S147" s="13">
        <f>IF(U147&gt;=0.25,+O147*(+$G147+0.05),+O147*$G147)</f>
        <v>11185</v>
      </c>
      <c r="T147" s="14">
        <f t="shared" si="225"/>
        <v>-5970.6944444444453</v>
      </c>
      <c r="U147" s="56">
        <f t="shared" si="226"/>
        <v>9.8585776676993864E-2</v>
      </c>
      <c r="V147" s="16">
        <v>45955</v>
      </c>
      <c r="W147" s="15">
        <f>+V147*0.25</f>
        <v>11488.75</v>
      </c>
      <c r="X147" s="16">
        <v>289941.5</v>
      </c>
      <c r="Y147" s="22">
        <f t="shared" si="227"/>
        <v>16107.861111111111</v>
      </c>
      <c r="Z147" s="15">
        <f>IF(AB147&gt;=0.25,+V147*(+$G147+0.05),+V147*$G147)</f>
        <v>18382</v>
      </c>
      <c r="AA147" s="16">
        <f t="shared" si="228"/>
        <v>-23.611111111109494</v>
      </c>
      <c r="AB147" s="58">
        <f t="shared" si="229"/>
        <v>0.15849749001091601</v>
      </c>
      <c r="AC147" s="162">
        <f t="shared" si="215"/>
        <v>134197.5</v>
      </c>
      <c r="AD147" s="163">
        <f t="shared" si="216"/>
        <v>29329.775000000001</v>
      </c>
      <c r="AE147" s="163">
        <f t="shared" si="217"/>
        <v>211285.91666666666</v>
      </c>
      <c r="AF147" s="163">
        <f t="shared" si="218"/>
        <v>47914.030555555553</v>
      </c>
      <c r="AG147" s="163">
        <f t="shared" si="219"/>
        <v>53679</v>
      </c>
      <c r="AH147" s="163">
        <f t="shared" si="220"/>
        <v>3274.6944444444525</v>
      </c>
    </row>
    <row r="148" spans="1:34" ht="16.5" customHeight="1" x14ac:dyDescent="0.25">
      <c r="A148" s="9"/>
      <c r="B148" s="69" t="s">
        <v>180</v>
      </c>
      <c r="C148" s="69" t="s">
        <v>181</v>
      </c>
      <c r="D148" s="32" t="s">
        <v>330</v>
      </c>
      <c r="E148" s="31" t="s">
        <v>133</v>
      </c>
      <c r="F148" s="32">
        <v>2345</v>
      </c>
      <c r="G148" s="129" t="s">
        <v>8</v>
      </c>
      <c r="H148" s="12">
        <v>53518</v>
      </c>
      <c r="I148" s="11">
        <f>+H148*$G$183</f>
        <v>13379.5</v>
      </c>
      <c r="J148" s="45">
        <v>473843.8</v>
      </c>
      <c r="K148" s="20">
        <f>J148/18</f>
        <v>26324.655555555553</v>
      </c>
      <c r="L148" s="12">
        <v>6297.2</v>
      </c>
      <c r="M148" s="37">
        <f>H148-(K148+L148+I148)</f>
        <v>7516.6444444444496</v>
      </c>
      <c r="N148" s="54">
        <f>IF(H148&gt;0,IF(J148&gt;0,+H148/J148,"n/m"),0)</f>
        <v>0.11294439222376657</v>
      </c>
      <c r="O148" s="14">
        <v>74208</v>
      </c>
      <c r="P148" s="13">
        <f>+O148*$G$183</f>
        <v>18552</v>
      </c>
      <c r="Q148" s="14">
        <v>507021.75</v>
      </c>
      <c r="R148" s="21">
        <f>Q148/18</f>
        <v>28167.875</v>
      </c>
      <c r="S148" s="14">
        <v>19187</v>
      </c>
      <c r="T148" s="14">
        <f>O148-(R148+S148+P148)</f>
        <v>8301.125</v>
      </c>
      <c r="U148" s="56">
        <f>IF(O148&gt;0,IF(Q148&gt;0,+O148/Q148,"n/m"),0)</f>
        <v>0.14636058512282757</v>
      </c>
      <c r="V148" s="16">
        <v>85553</v>
      </c>
      <c r="W148" s="15">
        <f>+V148*$G$183</f>
        <v>21388.25</v>
      </c>
      <c r="X148" s="16">
        <v>551414.5</v>
      </c>
      <c r="Y148" s="22">
        <f>X148/18</f>
        <v>30634.138888888891</v>
      </c>
      <c r="Z148" s="16">
        <v>21263.200000000001</v>
      </c>
      <c r="AA148" s="16">
        <f>V148-(Y148+Z148+W148)</f>
        <v>12267.411111111112</v>
      </c>
      <c r="AB148" s="58">
        <f>IF(V148&gt;0,IF(X148&gt;0,+V148/X148,"n/m"),0)</f>
        <v>0.15515188664788468</v>
      </c>
      <c r="AC148" s="162">
        <f t="shared" si="215"/>
        <v>213279</v>
      </c>
      <c r="AD148" s="163">
        <f t="shared" si="216"/>
        <v>53319.75</v>
      </c>
      <c r="AE148" s="163">
        <f t="shared" si="217"/>
        <v>370651.41666666669</v>
      </c>
      <c r="AF148" s="163">
        <f t="shared" si="218"/>
        <v>85126.669444444444</v>
      </c>
      <c r="AG148" s="163">
        <f t="shared" si="219"/>
        <v>46747.4</v>
      </c>
      <c r="AH148" s="163">
        <f t="shared" si="220"/>
        <v>28085.180555555555</v>
      </c>
    </row>
    <row r="149" spans="1:34" ht="16.5" customHeight="1" x14ac:dyDescent="0.25">
      <c r="A149" s="9"/>
      <c r="B149" s="70" t="s">
        <v>322</v>
      </c>
      <c r="C149" s="70" t="s">
        <v>323</v>
      </c>
      <c r="D149" s="31" t="s">
        <v>321</v>
      </c>
      <c r="E149" s="31" t="s">
        <v>133</v>
      </c>
      <c r="F149" s="31">
        <v>2505</v>
      </c>
      <c r="G149" s="129">
        <v>0.4</v>
      </c>
      <c r="H149" s="12">
        <v>26980</v>
      </c>
      <c r="I149" s="11">
        <f t="shared" ref="I149:I156" si="230">+H149*$G$181</f>
        <v>4856.3999999999996</v>
      </c>
      <c r="J149" s="45">
        <v>88434.4</v>
      </c>
      <c r="K149" s="20">
        <f t="shared" ref="K149:K155" si="231">J149/18</f>
        <v>4913.0222222222219</v>
      </c>
      <c r="L149" s="11">
        <f>IF(+H149&gt;=30000,0.45*H149,0.4*H149)</f>
        <v>10792</v>
      </c>
      <c r="M149" s="12">
        <f t="shared" ref="M149:M155" si="232">H149-(K149+L149+I149)</f>
        <v>6418.5777777777766</v>
      </c>
      <c r="N149" s="54">
        <f t="shared" ref="N149:N155" si="233">IF(H149&gt;0,IF(J149&gt;0,+H149/J149,"n/m"),0)</f>
        <v>0.30508489908904229</v>
      </c>
      <c r="O149" s="14">
        <v>54423</v>
      </c>
      <c r="P149" s="13">
        <f t="shared" ref="P149:P156" si="234">+O149*0.25</f>
        <v>13605.75</v>
      </c>
      <c r="Q149" s="14">
        <v>103006.75</v>
      </c>
      <c r="R149" s="21">
        <f t="shared" ref="R149:R155" si="235">Q149/18</f>
        <v>5722.5972222222226</v>
      </c>
      <c r="S149" s="13">
        <f>IF(+O149&gt;=30000,0.45*O149,0.4*O149)</f>
        <v>24490.350000000002</v>
      </c>
      <c r="T149" s="14">
        <f t="shared" ref="T149:T155" si="236">O149-(R149+S149+P149)</f>
        <v>10604.302777777775</v>
      </c>
      <c r="U149" s="56">
        <f t="shared" ref="U149:U155" si="237">IF(O149&gt;0,IF(Q149&gt;0,+O149/Q149,"n/m"),0)</f>
        <v>0.52834401629019456</v>
      </c>
      <c r="V149" s="16">
        <f>42420+200</f>
        <v>42620</v>
      </c>
      <c r="W149" s="15">
        <f t="shared" ref="W149:W156" si="238">+V149*0.25</f>
        <v>10655</v>
      </c>
      <c r="X149" s="16">
        <v>80639.5</v>
      </c>
      <c r="Y149" s="22">
        <f t="shared" ref="Y149:Y155" si="239">X149/18</f>
        <v>4479.9722222222226</v>
      </c>
      <c r="Z149" s="15">
        <f>IF(+V149&gt;=30000,0.45*V149,0.4*V149)</f>
        <v>19179</v>
      </c>
      <c r="AA149" s="16">
        <f t="shared" ref="AA149:AA155" si="240">V149-(Y149+Z149+W149)</f>
        <v>8306.027777777781</v>
      </c>
      <c r="AB149" s="58">
        <f t="shared" ref="AB149:AB155" si="241">IF(V149&gt;0,IF(X149&gt;0,+V149/X149,"n/m"),0)</f>
        <v>0.52852510246219286</v>
      </c>
      <c r="AC149" s="162">
        <f t="shared" si="215"/>
        <v>124023</v>
      </c>
      <c r="AD149" s="163">
        <f t="shared" si="216"/>
        <v>29117.15</v>
      </c>
      <c r="AE149" s="163">
        <f t="shared" si="217"/>
        <v>70208.75</v>
      </c>
      <c r="AF149" s="163">
        <f t="shared" si="218"/>
        <v>15115.591666666667</v>
      </c>
      <c r="AG149" s="163">
        <f t="shared" si="219"/>
        <v>54461.350000000006</v>
      </c>
      <c r="AH149" s="163">
        <f t="shared" si="220"/>
        <v>25328.908333333326</v>
      </c>
    </row>
    <row r="150" spans="1:34" ht="16.5" customHeight="1" x14ac:dyDescent="0.25">
      <c r="A150" s="9"/>
      <c r="B150" s="70" t="s">
        <v>338</v>
      </c>
      <c r="C150" s="70" t="s">
        <v>339</v>
      </c>
      <c r="D150" s="31" t="s">
        <v>318</v>
      </c>
      <c r="E150" s="31" t="s">
        <v>133</v>
      </c>
      <c r="F150" s="31">
        <v>2517</v>
      </c>
      <c r="G150" s="129">
        <v>0.45</v>
      </c>
      <c r="H150" s="12">
        <v>1825</v>
      </c>
      <c r="I150" s="11">
        <f t="shared" si="230"/>
        <v>328.5</v>
      </c>
      <c r="J150" s="45">
        <v>134367</v>
      </c>
      <c r="K150" s="20">
        <f t="shared" si="231"/>
        <v>7464.833333333333</v>
      </c>
      <c r="L150" s="11">
        <f>+H150*0.45</f>
        <v>821.25</v>
      </c>
      <c r="M150" s="12">
        <f t="shared" si="232"/>
        <v>-6789.5833333333321</v>
      </c>
      <c r="N150" s="54">
        <f t="shared" si="233"/>
        <v>1.3582203963770866E-2</v>
      </c>
      <c r="O150" s="14">
        <v>56470</v>
      </c>
      <c r="P150" s="13">
        <f t="shared" si="234"/>
        <v>14117.5</v>
      </c>
      <c r="Q150" s="14">
        <v>164098.5</v>
      </c>
      <c r="R150" s="21">
        <f t="shared" si="235"/>
        <v>9116.5833333333339</v>
      </c>
      <c r="S150" s="13">
        <f>+O150*0.45</f>
        <v>25411.5</v>
      </c>
      <c r="T150" s="14">
        <f t="shared" si="236"/>
        <v>7824.4166666666642</v>
      </c>
      <c r="U150" s="56">
        <f t="shared" si="237"/>
        <v>0.34412258491089193</v>
      </c>
      <c r="V150" s="16">
        <v>1475</v>
      </c>
      <c r="W150" s="15">
        <f t="shared" si="238"/>
        <v>368.75</v>
      </c>
      <c r="X150" s="16">
        <v>64116</v>
      </c>
      <c r="Y150" s="22">
        <f t="shared" si="239"/>
        <v>3562</v>
      </c>
      <c r="Z150" s="15">
        <f>+V150*0.45</f>
        <v>663.75</v>
      </c>
      <c r="AA150" s="16">
        <f t="shared" si="240"/>
        <v>-3119.5</v>
      </c>
      <c r="AB150" s="58">
        <f t="shared" si="241"/>
        <v>2.3005178114667166E-2</v>
      </c>
      <c r="AC150" s="162">
        <f t="shared" si="215"/>
        <v>59770</v>
      </c>
      <c r="AD150" s="163">
        <f t="shared" si="216"/>
        <v>14814.75</v>
      </c>
      <c r="AE150" s="163">
        <f t="shared" si="217"/>
        <v>76679.833333333328</v>
      </c>
      <c r="AF150" s="163">
        <f t="shared" si="218"/>
        <v>20143.416666666668</v>
      </c>
      <c r="AG150" s="163">
        <f t="shared" si="219"/>
        <v>26896.5</v>
      </c>
      <c r="AH150" s="163">
        <f t="shared" si="220"/>
        <v>-2084.6666666666679</v>
      </c>
    </row>
    <row r="151" spans="1:34" ht="16.5" customHeight="1" x14ac:dyDescent="0.25">
      <c r="A151" s="9"/>
      <c r="B151" s="70" t="s">
        <v>350</v>
      </c>
      <c r="C151" s="70" t="s">
        <v>351</v>
      </c>
      <c r="D151" s="31" t="s">
        <v>70</v>
      </c>
      <c r="E151" s="31" t="s">
        <v>133</v>
      </c>
      <c r="F151" s="31">
        <v>2534</v>
      </c>
      <c r="G151" s="127">
        <v>0.45</v>
      </c>
      <c r="H151" s="12">
        <v>3810</v>
      </c>
      <c r="I151" s="11">
        <f t="shared" si="230"/>
        <v>685.8</v>
      </c>
      <c r="J151" s="45">
        <v>48395.199999999997</v>
      </c>
      <c r="K151" s="20">
        <f t="shared" si="231"/>
        <v>2688.6222222222223</v>
      </c>
      <c r="L151" s="11">
        <f>IF(+H151&gt;0,+H151*$G151,0)</f>
        <v>1714.5</v>
      </c>
      <c r="M151" s="12">
        <f t="shared" si="232"/>
        <v>-1278.9222222222224</v>
      </c>
      <c r="N151" s="54">
        <f t="shared" si="233"/>
        <v>7.8726815882566872E-2</v>
      </c>
      <c r="O151" s="14">
        <v>0</v>
      </c>
      <c r="P151" s="13">
        <f t="shared" si="234"/>
        <v>0</v>
      </c>
      <c r="Q151" s="14">
        <v>23725</v>
      </c>
      <c r="R151" s="21">
        <f t="shared" si="235"/>
        <v>1318.0555555555557</v>
      </c>
      <c r="S151" s="13">
        <f>IF(+O151&gt;0,+O151*$G151,0)</f>
        <v>0</v>
      </c>
      <c r="T151" s="14">
        <f t="shared" si="236"/>
        <v>-1318.0555555555557</v>
      </c>
      <c r="U151" s="56">
        <f t="shared" si="237"/>
        <v>0</v>
      </c>
      <c r="V151" s="16">
        <v>0</v>
      </c>
      <c r="W151" s="15">
        <f t="shared" si="238"/>
        <v>0</v>
      </c>
      <c r="X151" s="16">
        <v>4157.5</v>
      </c>
      <c r="Y151" s="22">
        <f t="shared" si="239"/>
        <v>230.97222222222223</v>
      </c>
      <c r="Z151" s="15">
        <f>IF(+V151&gt;0,+V151*$G151,0)</f>
        <v>0</v>
      </c>
      <c r="AA151" s="16">
        <f t="shared" si="240"/>
        <v>-230.97222222222223</v>
      </c>
      <c r="AB151" s="58">
        <f t="shared" si="241"/>
        <v>0</v>
      </c>
      <c r="AC151" s="162">
        <f t="shared" si="215"/>
        <v>3810</v>
      </c>
      <c r="AD151" s="163">
        <f t="shared" si="216"/>
        <v>685.8</v>
      </c>
      <c r="AE151" s="163">
        <f t="shared" si="217"/>
        <v>10564.166666666666</v>
      </c>
      <c r="AF151" s="163">
        <f t="shared" si="218"/>
        <v>4237.6500000000005</v>
      </c>
      <c r="AG151" s="163">
        <f t="shared" si="219"/>
        <v>1714.5</v>
      </c>
      <c r="AH151" s="163">
        <f t="shared" si="220"/>
        <v>-2827.9500000000007</v>
      </c>
    </row>
    <row r="152" spans="1:34" ht="16.5" customHeight="1" x14ac:dyDescent="0.25">
      <c r="A152" s="9"/>
      <c r="B152" s="70" t="s">
        <v>353</v>
      </c>
      <c r="C152" s="70" t="s">
        <v>352</v>
      </c>
      <c r="D152" s="31" t="s">
        <v>354</v>
      </c>
      <c r="E152" s="31" t="s">
        <v>133</v>
      </c>
      <c r="F152" s="31">
        <v>2179</v>
      </c>
      <c r="G152" s="127" t="s">
        <v>8</v>
      </c>
      <c r="H152" s="12">
        <v>3944</v>
      </c>
      <c r="I152" s="11">
        <f t="shared" si="230"/>
        <v>709.92</v>
      </c>
      <c r="J152" s="45">
        <v>14333.8</v>
      </c>
      <c r="K152" s="20">
        <f t="shared" si="231"/>
        <v>796.32222222222219</v>
      </c>
      <c r="L152" s="11">
        <v>0</v>
      </c>
      <c r="M152" s="12">
        <f t="shared" si="232"/>
        <v>2437.7577777777778</v>
      </c>
      <c r="N152" s="54">
        <f t="shared" si="233"/>
        <v>0.27515383220081208</v>
      </c>
      <c r="O152" s="14">
        <v>0</v>
      </c>
      <c r="P152" s="13">
        <f t="shared" si="234"/>
        <v>0</v>
      </c>
      <c r="Q152" s="14">
        <v>6977.5</v>
      </c>
      <c r="R152" s="21">
        <f t="shared" si="235"/>
        <v>387.63888888888891</v>
      </c>
      <c r="S152" s="13">
        <v>0</v>
      </c>
      <c r="T152" s="14">
        <f t="shared" si="236"/>
        <v>-387.63888888888891</v>
      </c>
      <c r="U152" s="56">
        <f t="shared" si="237"/>
        <v>0</v>
      </c>
      <c r="V152" s="16">
        <v>0</v>
      </c>
      <c r="W152" s="15">
        <f t="shared" si="238"/>
        <v>0</v>
      </c>
      <c r="X152" s="16">
        <v>585.5</v>
      </c>
      <c r="Y152" s="22">
        <f t="shared" si="239"/>
        <v>32.527777777777779</v>
      </c>
      <c r="Z152" s="15">
        <v>0</v>
      </c>
      <c r="AA152" s="16">
        <f t="shared" si="240"/>
        <v>-32.527777777777779</v>
      </c>
      <c r="AB152" s="58">
        <f t="shared" si="241"/>
        <v>0</v>
      </c>
      <c r="AC152" s="162">
        <f t="shared" si="215"/>
        <v>3944</v>
      </c>
      <c r="AD152" s="163">
        <f t="shared" si="216"/>
        <v>709.92</v>
      </c>
      <c r="AE152" s="163">
        <f t="shared" si="217"/>
        <v>3835.6666666666665</v>
      </c>
      <c r="AF152" s="163">
        <f t="shared" si="218"/>
        <v>1216.4888888888891</v>
      </c>
      <c r="AG152" s="163">
        <f t="shared" si="219"/>
        <v>0</v>
      </c>
      <c r="AH152" s="163">
        <f t="shared" si="220"/>
        <v>2017.5911111111109</v>
      </c>
    </row>
    <row r="153" spans="1:34" ht="16.5" customHeight="1" x14ac:dyDescent="0.25">
      <c r="A153" s="9"/>
      <c r="B153" s="70" t="s">
        <v>382</v>
      </c>
      <c r="C153" s="70" t="s">
        <v>356</v>
      </c>
      <c r="D153" s="31" t="s">
        <v>82</v>
      </c>
      <c r="E153" s="31" t="s">
        <v>133</v>
      </c>
      <c r="F153" s="31">
        <v>2526</v>
      </c>
      <c r="G153" s="127">
        <v>0.35</v>
      </c>
      <c r="H153" s="12">
        <v>3800</v>
      </c>
      <c r="I153" s="11">
        <f t="shared" si="230"/>
        <v>684</v>
      </c>
      <c r="J153" s="45">
        <v>8925</v>
      </c>
      <c r="K153" s="20">
        <f t="shared" si="231"/>
        <v>495.83333333333331</v>
      </c>
      <c r="L153" s="11">
        <f>IF(+H153&gt;0,+H153*$G153,0)</f>
        <v>1330</v>
      </c>
      <c r="M153" s="12">
        <f t="shared" si="232"/>
        <v>1290.166666666667</v>
      </c>
      <c r="N153" s="54">
        <f t="shared" si="233"/>
        <v>0.42577030812324929</v>
      </c>
      <c r="O153" s="14">
        <v>1900</v>
      </c>
      <c r="P153" s="13">
        <f t="shared" si="234"/>
        <v>475</v>
      </c>
      <c r="Q153" s="14">
        <v>8775</v>
      </c>
      <c r="R153" s="21">
        <f t="shared" si="235"/>
        <v>487.5</v>
      </c>
      <c r="S153" s="13">
        <f>IF(+O153&gt;0,+O153*$G153,0)</f>
        <v>665</v>
      </c>
      <c r="T153" s="14">
        <f t="shared" si="236"/>
        <v>272.5</v>
      </c>
      <c r="U153" s="56">
        <f t="shared" si="237"/>
        <v>0.21652421652421652</v>
      </c>
      <c r="V153" s="16">
        <v>3065</v>
      </c>
      <c r="W153" s="15">
        <f t="shared" si="238"/>
        <v>766.25</v>
      </c>
      <c r="X153" s="16">
        <v>34716.75</v>
      </c>
      <c r="Y153" s="22">
        <f t="shared" si="239"/>
        <v>1928.7083333333333</v>
      </c>
      <c r="Z153" s="15">
        <f>IF(+V153&gt;0,+V153*$G153,0)</f>
        <v>1072.75</v>
      </c>
      <c r="AA153" s="16">
        <f t="shared" si="240"/>
        <v>-702.70833333333303</v>
      </c>
      <c r="AB153" s="58">
        <f t="shared" si="241"/>
        <v>8.8285913860024337E-2</v>
      </c>
      <c r="AC153" s="162">
        <f t="shared" si="215"/>
        <v>8765</v>
      </c>
      <c r="AD153" s="163">
        <f t="shared" si="216"/>
        <v>1925.25</v>
      </c>
      <c r="AE153" s="163">
        <f t="shared" si="217"/>
        <v>15763.916666666666</v>
      </c>
      <c r="AF153" s="163">
        <f t="shared" si="218"/>
        <v>2912.0416666666665</v>
      </c>
      <c r="AG153" s="163">
        <f t="shared" si="219"/>
        <v>3067.75</v>
      </c>
      <c r="AH153" s="163">
        <f t="shared" si="220"/>
        <v>859.95833333333348</v>
      </c>
    </row>
    <row r="154" spans="1:34" ht="16.5" customHeight="1" x14ac:dyDescent="0.25">
      <c r="A154" s="9"/>
      <c r="B154" s="70" t="s">
        <v>379</v>
      </c>
      <c r="C154" s="70" t="s">
        <v>378</v>
      </c>
      <c r="D154" s="31" t="s">
        <v>70</v>
      </c>
      <c r="E154" s="31" t="s">
        <v>133</v>
      </c>
      <c r="F154" s="31">
        <v>2550</v>
      </c>
      <c r="G154" s="127">
        <v>0.35</v>
      </c>
      <c r="H154" s="12">
        <v>4610</v>
      </c>
      <c r="I154" s="11">
        <f t="shared" si="230"/>
        <v>829.8</v>
      </c>
      <c r="J154" s="45">
        <v>5189.8</v>
      </c>
      <c r="K154" s="20">
        <f t="shared" si="231"/>
        <v>288.32222222222225</v>
      </c>
      <c r="L154" s="11">
        <f>IF(+H154&gt;=40000,0.4*H154,0.35*H154)</f>
        <v>1613.5</v>
      </c>
      <c r="M154" s="12">
        <f t="shared" si="232"/>
        <v>1878.3777777777777</v>
      </c>
      <c r="N154" s="54">
        <f t="shared" si="233"/>
        <v>0.88828085860726802</v>
      </c>
      <c r="O154" s="14">
        <v>0</v>
      </c>
      <c r="P154" s="13">
        <f t="shared" ref="P154:P155" si="242">+O154*0.25</f>
        <v>0</v>
      </c>
      <c r="Q154" s="14">
        <v>416.5</v>
      </c>
      <c r="R154" s="21">
        <f t="shared" si="235"/>
        <v>23.138888888888889</v>
      </c>
      <c r="S154" s="13">
        <f>IF(+O154&gt;=40000,0.4*O154,0.35*O154)</f>
        <v>0</v>
      </c>
      <c r="T154" s="14">
        <f t="shared" si="236"/>
        <v>-23.138888888888889</v>
      </c>
      <c r="U154" s="56">
        <f t="shared" si="237"/>
        <v>0</v>
      </c>
      <c r="V154" s="16">
        <v>0</v>
      </c>
      <c r="W154" s="15">
        <f t="shared" ref="W154:W155" si="243">+V154*0.25</f>
        <v>0</v>
      </c>
      <c r="X154" s="16">
        <v>340</v>
      </c>
      <c r="Y154" s="22">
        <f t="shared" si="239"/>
        <v>18.888888888888889</v>
      </c>
      <c r="Z154" s="15">
        <f>IF(+V154&gt;=40000,0.4*V154,0.35*V154)</f>
        <v>0</v>
      </c>
      <c r="AA154" s="16">
        <f t="shared" si="240"/>
        <v>-18.888888888888889</v>
      </c>
      <c r="AB154" s="58">
        <f t="shared" si="241"/>
        <v>0</v>
      </c>
      <c r="AC154" s="162">
        <f t="shared" si="215"/>
        <v>4610</v>
      </c>
      <c r="AD154" s="163">
        <f t="shared" si="216"/>
        <v>829.8</v>
      </c>
      <c r="AE154" s="163">
        <f t="shared" si="217"/>
        <v>1788.8333333333333</v>
      </c>
      <c r="AF154" s="163">
        <f t="shared" si="218"/>
        <v>330.35000000000008</v>
      </c>
      <c r="AG154" s="163">
        <f t="shared" si="219"/>
        <v>1613.5</v>
      </c>
      <c r="AH154" s="163">
        <f t="shared" si="220"/>
        <v>1836.35</v>
      </c>
    </row>
    <row r="155" spans="1:34" ht="16.5" customHeight="1" x14ac:dyDescent="0.25">
      <c r="A155" s="9"/>
      <c r="B155" s="70" t="s">
        <v>383</v>
      </c>
      <c r="C155" s="70" t="s">
        <v>384</v>
      </c>
      <c r="D155" s="31" t="s">
        <v>318</v>
      </c>
      <c r="E155" s="31" t="s">
        <v>133</v>
      </c>
      <c r="F155" s="31">
        <v>2540</v>
      </c>
      <c r="G155" s="127">
        <v>0.4</v>
      </c>
      <c r="H155" s="12">
        <v>4687.5</v>
      </c>
      <c r="I155" s="11">
        <f t="shared" si="230"/>
        <v>843.75</v>
      </c>
      <c r="J155" s="45">
        <v>20533</v>
      </c>
      <c r="K155" s="20">
        <f t="shared" si="231"/>
        <v>1140.7222222222222</v>
      </c>
      <c r="L155" s="11">
        <f>IF(+H155&gt;0,+H155*$G155,0)</f>
        <v>1875</v>
      </c>
      <c r="M155" s="12">
        <f t="shared" si="232"/>
        <v>828.02777777777783</v>
      </c>
      <c r="N155" s="54">
        <f t="shared" si="233"/>
        <v>0.22829104368577413</v>
      </c>
      <c r="O155" s="14">
        <v>3375</v>
      </c>
      <c r="P155" s="13">
        <f t="shared" si="242"/>
        <v>843.75</v>
      </c>
      <c r="Q155" s="14">
        <v>142424.75</v>
      </c>
      <c r="R155" s="21">
        <f t="shared" si="235"/>
        <v>7912.4861111111113</v>
      </c>
      <c r="S155" s="13">
        <f>IF(+O155&gt;0,+O155*$G155,0)</f>
        <v>1350</v>
      </c>
      <c r="T155" s="14">
        <f t="shared" si="236"/>
        <v>-6731.2361111111113</v>
      </c>
      <c r="U155" s="56">
        <f t="shared" si="237"/>
        <v>2.3696724059547234E-2</v>
      </c>
      <c r="V155" s="16">
        <v>27430</v>
      </c>
      <c r="W155" s="15">
        <f t="shared" si="243"/>
        <v>6857.5</v>
      </c>
      <c r="X155" s="16">
        <v>262795.25</v>
      </c>
      <c r="Y155" s="22">
        <f t="shared" si="239"/>
        <v>14599.736111111111</v>
      </c>
      <c r="Z155" s="15">
        <f>IF(+V155&gt;0,+V155*$G155,0)</f>
        <v>10972</v>
      </c>
      <c r="AA155" s="16">
        <f t="shared" si="240"/>
        <v>-4999.2361111111095</v>
      </c>
      <c r="AB155" s="58">
        <f t="shared" si="241"/>
        <v>0.10437783787948983</v>
      </c>
      <c r="AC155" s="162">
        <f t="shared" si="215"/>
        <v>35492.5</v>
      </c>
      <c r="AD155" s="163">
        <f t="shared" si="216"/>
        <v>8545</v>
      </c>
      <c r="AE155" s="163">
        <f t="shared" si="217"/>
        <v>136635.83333333334</v>
      </c>
      <c r="AF155" s="163">
        <f t="shared" si="218"/>
        <v>23652.944444444445</v>
      </c>
      <c r="AG155" s="163">
        <f t="shared" si="219"/>
        <v>14197</v>
      </c>
      <c r="AH155" s="163">
        <f t="shared" si="220"/>
        <v>-10902.444444444445</v>
      </c>
    </row>
    <row r="156" spans="1:34" ht="16.5" customHeight="1" thickBot="1" x14ac:dyDescent="0.3">
      <c r="A156" s="9"/>
      <c r="B156" s="70" t="s">
        <v>399</v>
      </c>
      <c r="C156" s="70" t="s">
        <v>400</v>
      </c>
      <c r="D156" s="31" t="s">
        <v>401</v>
      </c>
      <c r="E156" s="31" t="s">
        <v>133</v>
      </c>
      <c r="F156" s="31">
        <v>2503</v>
      </c>
      <c r="G156" s="129">
        <v>0.4</v>
      </c>
      <c r="H156" s="12">
        <v>0</v>
      </c>
      <c r="I156" s="11">
        <f t="shared" si="230"/>
        <v>0</v>
      </c>
      <c r="J156" s="45">
        <v>0</v>
      </c>
      <c r="K156" s="20">
        <f t="shared" si="204"/>
        <v>0</v>
      </c>
      <c r="L156" s="11">
        <f>IF(+H156&gt;0,+H156*$G156,0)</f>
        <v>0</v>
      </c>
      <c r="M156" s="12">
        <f t="shared" si="205"/>
        <v>0</v>
      </c>
      <c r="N156" s="54">
        <f t="shared" si="206"/>
        <v>0</v>
      </c>
      <c r="O156" s="14">
        <v>0</v>
      </c>
      <c r="P156" s="13">
        <f t="shared" si="234"/>
        <v>0</v>
      </c>
      <c r="Q156" s="14">
        <v>0</v>
      </c>
      <c r="R156" s="21">
        <f t="shared" si="208"/>
        <v>0</v>
      </c>
      <c r="S156" s="13">
        <f>IF(+O156&gt;0,+O156*$G156,0)</f>
        <v>0</v>
      </c>
      <c r="T156" s="14">
        <f t="shared" si="209"/>
        <v>0</v>
      </c>
      <c r="U156" s="56">
        <f t="shared" si="210"/>
        <v>0</v>
      </c>
      <c r="V156" s="16">
        <v>13040</v>
      </c>
      <c r="W156" s="15">
        <f t="shared" si="238"/>
        <v>3260</v>
      </c>
      <c r="X156" s="16">
        <v>38741</v>
      </c>
      <c r="Y156" s="22">
        <f t="shared" si="212"/>
        <v>2152.2777777777778</v>
      </c>
      <c r="Z156" s="15">
        <f>IF(+V156&gt;0,+V156*$G156,0)</f>
        <v>5216</v>
      </c>
      <c r="AA156" s="16">
        <f t="shared" si="213"/>
        <v>2411.7222222222226</v>
      </c>
      <c r="AB156" s="58">
        <f t="shared" si="214"/>
        <v>0.33659430577424432</v>
      </c>
      <c r="AC156" s="162">
        <f t="shared" si="215"/>
        <v>13040</v>
      </c>
      <c r="AD156" s="163">
        <f t="shared" si="216"/>
        <v>3260</v>
      </c>
      <c r="AE156" s="163">
        <f t="shared" si="217"/>
        <v>12913.666666666666</v>
      </c>
      <c r="AF156" s="163">
        <f t="shared" si="218"/>
        <v>2152.2777777777778</v>
      </c>
      <c r="AG156" s="163">
        <f t="shared" si="219"/>
        <v>5216</v>
      </c>
      <c r="AH156" s="163">
        <f t="shared" si="220"/>
        <v>2411.7222222222226</v>
      </c>
    </row>
    <row r="157" spans="1:34" ht="16.5" customHeight="1" thickBot="1" x14ac:dyDescent="0.3">
      <c r="A157" s="9"/>
      <c r="B157" s="59" t="s">
        <v>138</v>
      </c>
      <c r="C157" s="61"/>
      <c r="D157" s="33"/>
      <c r="E157" s="33"/>
      <c r="F157" s="33"/>
      <c r="G157" s="46"/>
      <c r="H157" s="80">
        <f t="shared" ref="H157:M157" si="244">SUM(H132:H156)</f>
        <v>436876.63</v>
      </c>
      <c r="I157" s="77">
        <f t="shared" si="244"/>
        <v>82384.05339999999</v>
      </c>
      <c r="J157" s="80">
        <f t="shared" si="244"/>
        <v>2655451.5999999996</v>
      </c>
      <c r="K157" s="79">
        <f t="shared" si="244"/>
        <v>147525.08888888889</v>
      </c>
      <c r="L157" s="77">
        <f t="shared" si="244"/>
        <v>153955.34350000002</v>
      </c>
      <c r="M157" s="80">
        <f t="shared" si="244"/>
        <v>53012.144211111117</v>
      </c>
      <c r="N157" s="81">
        <f t="shared" si="206"/>
        <v>0.16452065253232259</v>
      </c>
      <c r="O157" s="95">
        <f t="shared" ref="O157:T157" si="245">SUM(O132:O156)</f>
        <v>389621.2</v>
      </c>
      <c r="P157" s="83">
        <f t="shared" si="245"/>
        <v>85415.510999999999</v>
      </c>
      <c r="Q157" s="95">
        <f t="shared" si="245"/>
        <v>2863709.5</v>
      </c>
      <c r="R157" s="84">
        <f t="shared" si="245"/>
        <v>159094.97222222222</v>
      </c>
      <c r="S157" s="83">
        <f t="shared" si="245"/>
        <v>148388.66500000001</v>
      </c>
      <c r="T157" s="95">
        <f t="shared" si="245"/>
        <v>-3277.948222222235</v>
      </c>
      <c r="U157" s="85">
        <f t="shared" si="210"/>
        <v>0.13605472203098815</v>
      </c>
      <c r="V157" s="97">
        <f t="shared" ref="V157:AH157" si="246">SUM(V132:V156)</f>
        <v>418566.64</v>
      </c>
      <c r="W157" s="87">
        <f t="shared" si="246"/>
        <v>90681.655200000008</v>
      </c>
      <c r="X157" s="97">
        <f t="shared" si="246"/>
        <v>2882982.5</v>
      </c>
      <c r="Y157" s="88">
        <f t="shared" si="246"/>
        <v>160165.69444444447</v>
      </c>
      <c r="Z157" s="87">
        <f t="shared" si="246"/>
        <v>155964.98800000001</v>
      </c>
      <c r="AA157" s="97">
        <f t="shared" si="246"/>
        <v>11754.302355555572</v>
      </c>
      <c r="AB157" s="89">
        <f t="shared" si="214"/>
        <v>0.14518528641779824</v>
      </c>
      <c r="AC157" s="164">
        <f t="shared" si="246"/>
        <v>1245064.47</v>
      </c>
      <c r="AD157" s="168">
        <f t="shared" si="246"/>
        <v>258481.21959999998</v>
      </c>
      <c r="AE157" s="164">
        <f t="shared" si="246"/>
        <v>2061189.5433333337</v>
      </c>
      <c r="AF157" s="168">
        <f t="shared" si="246"/>
        <v>466785.75555555557</v>
      </c>
      <c r="AG157" s="168">
        <f t="shared" si="246"/>
        <v>458308.99650000001</v>
      </c>
      <c r="AH157" s="164">
        <f t="shared" si="246"/>
        <v>61488.498344444422</v>
      </c>
    </row>
    <row r="158" spans="1:34" ht="16.5" customHeight="1" x14ac:dyDescent="0.25">
      <c r="A158" s="9"/>
      <c r="B158" s="61"/>
      <c r="C158" s="61"/>
      <c r="D158" s="33"/>
      <c r="E158" s="33"/>
      <c r="F158" s="33"/>
      <c r="G158" s="46"/>
      <c r="H158" s="76"/>
      <c r="I158" s="77"/>
      <c r="J158" s="78"/>
      <c r="K158" s="79"/>
      <c r="L158" s="99">
        <f>+L157/H157</f>
        <v>0.35240004369196865</v>
      </c>
      <c r="M158" s="76"/>
      <c r="N158" s="81"/>
      <c r="O158" s="82"/>
      <c r="P158" s="83"/>
      <c r="Q158" s="82"/>
      <c r="R158" s="84"/>
      <c r="S158" s="106">
        <f>+S157/O157</f>
        <v>0.38085367274676019</v>
      </c>
      <c r="T158" s="82"/>
      <c r="U158" s="85"/>
      <c r="V158" s="86"/>
      <c r="W158" s="87"/>
      <c r="X158" s="86"/>
      <c r="Y158" s="88"/>
      <c r="Z158" s="107">
        <f>+Z157/V157</f>
        <v>0.37261686215604761</v>
      </c>
      <c r="AA158" s="86"/>
      <c r="AB158" s="89"/>
      <c r="AC158" s="169"/>
      <c r="AD158" s="167"/>
      <c r="AE158" s="167"/>
      <c r="AF158" s="167"/>
      <c r="AG158" s="167"/>
      <c r="AH158" s="167"/>
    </row>
    <row r="159" spans="1:34" ht="16.5" customHeight="1" x14ac:dyDescent="0.25">
      <c r="A159" s="9"/>
      <c r="B159" s="70" t="s">
        <v>235</v>
      </c>
      <c r="C159" s="70" t="s">
        <v>225</v>
      </c>
      <c r="D159" s="31" t="s">
        <v>303</v>
      </c>
      <c r="E159" s="31" t="s">
        <v>245</v>
      </c>
      <c r="F159" s="31">
        <v>2017</v>
      </c>
      <c r="G159" s="126" t="s">
        <v>238</v>
      </c>
      <c r="H159" s="12">
        <v>322335</v>
      </c>
      <c r="I159" s="11">
        <f>+H159*$G$181</f>
        <v>58020.299999999996</v>
      </c>
      <c r="J159" s="45">
        <v>661672.1</v>
      </c>
      <c r="K159" s="20">
        <f>J159/18</f>
        <v>36759.561111111107</v>
      </c>
      <c r="L159" s="11">
        <v>13500</v>
      </c>
      <c r="M159" s="12">
        <f>H159-(K159+L159+I159)</f>
        <v>214055.13888888891</v>
      </c>
      <c r="N159" s="54">
        <f>IF(H159&gt;0,IF(J159&gt;0,+H159/J159,"n/m"),0)</f>
        <v>0.48715217099224828</v>
      </c>
      <c r="O159" s="14">
        <v>206795</v>
      </c>
      <c r="P159" s="13">
        <f>+O159*$G$181</f>
        <v>37223.1</v>
      </c>
      <c r="Q159" s="14">
        <v>660842</v>
      </c>
      <c r="R159" s="21">
        <f>Q159/18</f>
        <v>36713.444444444445</v>
      </c>
      <c r="S159" s="13">
        <v>13500</v>
      </c>
      <c r="T159" s="14">
        <f>O159-(R159+S159+P159)</f>
        <v>119358.45555555556</v>
      </c>
      <c r="U159" s="56">
        <f>IF(O159&gt;0,IF(Q159&gt;0,+O159/Q159,"n/m"),0)</f>
        <v>0.31292653917275232</v>
      </c>
      <c r="V159" s="16">
        <v>219440</v>
      </c>
      <c r="W159" s="15">
        <f>+V159*$G$181</f>
        <v>39499.199999999997</v>
      </c>
      <c r="X159" s="16">
        <v>676404.25</v>
      </c>
      <c r="Y159" s="22">
        <f>X159/18</f>
        <v>37578.013888888891</v>
      </c>
      <c r="Z159" s="15">
        <v>13500</v>
      </c>
      <c r="AA159" s="16">
        <f>V159-(Y159+Z159+W159)</f>
        <v>128862.78611111111</v>
      </c>
      <c r="AB159" s="58">
        <f>IF(V159&gt;0,IF(X159&gt;0,+V159/X159,"n/m"),0)</f>
        <v>0.3244213796705151</v>
      </c>
      <c r="AC159" s="162">
        <f t="shared" ref="AC159:AC167" si="247">+H159+O159+V159</f>
        <v>748570</v>
      </c>
      <c r="AD159" s="163">
        <f t="shared" ref="AD159:AD167" si="248">+I159+P159+W159</f>
        <v>134742.59999999998</v>
      </c>
      <c r="AE159" s="163">
        <f t="shared" ref="AE159:AE167" si="249">(+H159+Q159+X159)/3</f>
        <v>553193.75</v>
      </c>
      <c r="AF159" s="163">
        <f t="shared" ref="AF159:AF167" si="250">+K159+R159+Y159</f>
        <v>111051.01944444444</v>
      </c>
      <c r="AG159" s="163">
        <f t="shared" ref="AG159:AG167" si="251">+L159+S159+Z159</f>
        <v>40500</v>
      </c>
      <c r="AH159" s="163">
        <f t="shared" ref="AH159:AH167" si="252">+AC159-AD159-AF159-AG159</f>
        <v>462276.38055555557</v>
      </c>
    </row>
    <row r="160" spans="1:34" ht="16.5" customHeight="1" x14ac:dyDescent="0.25">
      <c r="A160" s="9"/>
      <c r="B160" s="69" t="s">
        <v>53</v>
      </c>
      <c r="C160" s="69" t="s">
        <v>54</v>
      </c>
      <c r="D160" s="31" t="s">
        <v>303</v>
      </c>
      <c r="E160" s="31" t="s">
        <v>245</v>
      </c>
      <c r="F160" s="32">
        <v>2227</v>
      </c>
      <c r="G160" s="127">
        <v>0.4</v>
      </c>
      <c r="H160" s="12">
        <v>23037.5</v>
      </c>
      <c r="I160" s="11">
        <f>+H160*$G$181</f>
        <v>4146.75</v>
      </c>
      <c r="J160" s="45">
        <v>139562.4</v>
      </c>
      <c r="K160" s="20">
        <f>J160/18</f>
        <v>7753.4666666666662</v>
      </c>
      <c r="L160" s="11">
        <f>IF(+H160&gt;0,+H160*$G160,0)</f>
        <v>9215</v>
      </c>
      <c r="M160" s="12">
        <f>H160-(K160+L160+I160)</f>
        <v>1922.2833333333328</v>
      </c>
      <c r="N160" s="54">
        <f>IF(H160&gt;0,IF(J160&gt;0,+H160/J160,"n/m"),0)</f>
        <v>0.16506953162169755</v>
      </c>
      <c r="O160" s="14">
        <v>11000</v>
      </c>
      <c r="P160" s="13">
        <f>+O160*$G$181</f>
        <v>1980</v>
      </c>
      <c r="Q160" s="14">
        <v>131568</v>
      </c>
      <c r="R160" s="21">
        <f>Q160/18</f>
        <v>7309.333333333333</v>
      </c>
      <c r="S160" s="13">
        <f>IF(+O160&gt;0,+O160*$G160,0)</f>
        <v>4400</v>
      </c>
      <c r="T160" s="14">
        <f>O160-(R160+S160+P160)</f>
        <v>-2689.3333333333321</v>
      </c>
      <c r="U160" s="56">
        <f>IF(O160&gt;0,IF(Q160&gt;0,+O160/Q160,"n/m"),0)</f>
        <v>8.3606956098747409E-2</v>
      </c>
      <c r="V160" s="16">
        <v>35350</v>
      </c>
      <c r="W160" s="15">
        <f>+V160*$G$181</f>
        <v>6363</v>
      </c>
      <c r="X160" s="16">
        <v>123426.25</v>
      </c>
      <c r="Y160" s="22">
        <f>X160/18</f>
        <v>6857.0138888888887</v>
      </c>
      <c r="Z160" s="15">
        <f>IF(+V160&gt;0,+V160*$G160,0)</f>
        <v>14140</v>
      </c>
      <c r="AA160" s="16">
        <f>V160-(Y160+Z160+W160)</f>
        <v>7989.9861111111095</v>
      </c>
      <c r="AB160" s="58">
        <f>IF(V160&gt;0,IF(X160&gt;0,+V160/X160,"n/m"),0)</f>
        <v>0.28640584964705645</v>
      </c>
      <c r="AC160" s="162">
        <f t="shared" si="247"/>
        <v>69387.5</v>
      </c>
      <c r="AD160" s="163">
        <f t="shared" si="248"/>
        <v>12489.75</v>
      </c>
      <c r="AE160" s="163">
        <f t="shared" si="249"/>
        <v>92677.25</v>
      </c>
      <c r="AF160" s="163">
        <f t="shared" si="250"/>
        <v>21919.813888888886</v>
      </c>
      <c r="AG160" s="163">
        <f t="shared" si="251"/>
        <v>27755</v>
      </c>
      <c r="AH160" s="163">
        <f t="shared" si="252"/>
        <v>7222.9361111111139</v>
      </c>
    </row>
    <row r="161" spans="1:34" ht="16.5" customHeight="1" x14ac:dyDescent="0.25">
      <c r="A161" s="17"/>
      <c r="B161" s="70" t="s">
        <v>151</v>
      </c>
      <c r="C161" s="70" t="s">
        <v>152</v>
      </c>
      <c r="D161" s="31" t="s">
        <v>147</v>
      </c>
      <c r="E161" s="31" t="s">
        <v>245</v>
      </c>
      <c r="F161" s="31">
        <v>2334</v>
      </c>
      <c r="G161" s="130">
        <v>0.45</v>
      </c>
      <c r="H161" s="12">
        <v>0</v>
      </c>
      <c r="I161" s="11">
        <f>+H161*$G$181</f>
        <v>0</v>
      </c>
      <c r="J161" s="45">
        <v>24282</v>
      </c>
      <c r="K161" s="20">
        <f t="shared" ref="K161:K162" si="253">J161/18</f>
        <v>1349</v>
      </c>
      <c r="L161" s="11"/>
      <c r="M161" s="12">
        <f t="shared" ref="M161:M162" si="254">H161-(K161+L161+I161)</f>
        <v>-1349</v>
      </c>
      <c r="N161" s="54">
        <f t="shared" ref="N161:N168" si="255">IF(H161&gt;0,IF(J161&gt;0,+H161/J161,"n/m"),0)</f>
        <v>0</v>
      </c>
      <c r="O161" s="14">
        <v>0</v>
      </c>
      <c r="P161" s="13">
        <f>+O161*$G$181</f>
        <v>0</v>
      </c>
      <c r="Q161" s="14">
        <v>47399.5</v>
      </c>
      <c r="R161" s="21">
        <f t="shared" ref="R161:R162" si="256">Q161/18</f>
        <v>2633.3055555555557</v>
      </c>
      <c r="S161" s="13"/>
      <c r="T161" s="14">
        <f t="shared" ref="T161:T162" si="257">O161-(R161+S161+P161)</f>
        <v>-2633.3055555555557</v>
      </c>
      <c r="U161" s="56">
        <f t="shared" ref="U161:U168" si="258">IF(O161&gt;0,IF(Q161&gt;0,+O161/Q161,"n/m"),0)</f>
        <v>0</v>
      </c>
      <c r="V161" s="16">
        <v>0</v>
      </c>
      <c r="W161" s="15">
        <f>+V161*$G$181</f>
        <v>0</v>
      </c>
      <c r="X161" s="16">
        <v>15744</v>
      </c>
      <c r="Y161" s="22">
        <f t="shared" ref="Y161:Y162" si="259">X161/18</f>
        <v>874.66666666666663</v>
      </c>
      <c r="Z161" s="15"/>
      <c r="AA161" s="16">
        <f t="shared" ref="AA161:AA162" si="260">V161-(Y161+Z161+W161)</f>
        <v>-874.66666666666663</v>
      </c>
      <c r="AB161" s="58">
        <f t="shared" ref="AB161:AB168" si="261">IF(V161&gt;0,IF(X161&gt;0,+V161/X161,"n/m"),0)</f>
        <v>0</v>
      </c>
      <c r="AC161" s="162">
        <f t="shared" si="247"/>
        <v>0</v>
      </c>
      <c r="AD161" s="163">
        <f t="shared" si="248"/>
        <v>0</v>
      </c>
      <c r="AE161" s="163">
        <f t="shared" si="249"/>
        <v>21047.833333333332</v>
      </c>
      <c r="AF161" s="163">
        <f t="shared" si="250"/>
        <v>4856.9722222222226</v>
      </c>
      <c r="AG161" s="163">
        <f t="shared" si="251"/>
        <v>0</v>
      </c>
      <c r="AH161" s="163">
        <f t="shared" si="252"/>
        <v>-4856.9722222222226</v>
      </c>
    </row>
    <row r="162" spans="1:34" ht="16.5" customHeight="1" x14ac:dyDescent="0.25">
      <c r="A162" s="17"/>
      <c r="B162" s="70" t="s">
        <v>124</v>
      </c>
      <c r="C162" s="70" t="s">
        <v>125</v>
      </c>
      <c r="D162" s="31" t="s">
        <v>78</v>
      </c>
      <c r="E162" s="31" t="s">
        <v>245</v>
      </c>
      <c r="F162" s="31">
        <v>3012</v>
      </c>
      <c r="G162" s="126">
        <v>0.4</v>
      </c>
      <c r="H162" s="12">
        <v>7984</v>
      </c>
      <c r="I162" s="11">
        <f>+H162*$G$181</f>
        <v>1437.12</v>
      </c>
      <c r="J162" s="45">
        <v>147218.4</v>
      </c>
      <c r="K162" s="20">
        <f t="shared" si="253"/>
        <v>8178.7999999999993</v>
      </c>
      <c r="L162" s="11">
        <f>IF(+H162&gt;0,+H162*$G162,0)</f>
        <v>3193.6000000000004</v>
      </c>
      <c r="M162" s="12">
        <f t="shared" si="254"/>
        <v>-4825.5200000000004</v>
      </c>
      <c r="N162" s="54">
        <f t="shared" si="255"/>
        <v>5.4232351390858753E-2</v>
      </c>
      <c r="O162" s="14">
        <v>7700</v>
      </c>
      <c r="P162" s="13">
        <f>+O162*$G$181</f>
        <v>1386</v>
      </c>
      <c r="Q162" s="14">
        <v>138844.75</v>
      </c>
      <c r="R162" s="21">
        <f t="shared" si="256"/>
        <v>7713.5972222222226</v>
      </c>
      <c r="S162" s="13">
        <f>IF(+O162&gt;0,+O162*$G162,0)</f>
        <v>3080</v>
      </c>
      <c r="T162" s="14">
        <f t="shared" si="257"/>
        <v>-4479.5972222222226</v>
      </c>
      <c r="U162" s="56">
        <f t="shared" si="258"/>
        <v>5.5457624433044819E-2</v>
      </c>
      <c r="V162" s="16">
        <v>15134</v>
      </c>
      <c r="W162" s="15">
        <f>+V162*$G$181</f>
        <v>2724.12</v>
      </c>
      <c r="X162" s="16">
        <v>108318.5</v>
      </c>
      <c r="Y162" s="22">
        <f t="shared" si="259"/>
        <v>6017.6944444444443</v>
      </c>
      <c r="Z162" s="15">
        <f>IF(+V162&gt;0,+V162*$G162,0)</f>
        <v>6053.6</v>
      </c>
      <c r="AA162" s="16">
        <f t="shared" si="260"/>
        <v>338.58555555555722</v>
      </c>
      <c r="AB162" s="58">
        <f t="shared" si="261"/>
        <v>0.13971759210107229</v>
      </c>
      <c r="AC162" s="162">
        <f t="shared" si="247"/>
        <v>30818</v>
      </c>
      <c r="AD162" s="163">
        <f t="shared" si="248"/>
        <v>5547.24</v>
      </c>
      <c r="AE162" s="163">
        <f t="shared" si="249"/>
        <v>85049.083333333328</v>
      </c>
      <c r="AF162" s="163">
        <f t="shared" si="250"/>
        <v>21910.091666666667</v>
      </c>
      <c r="AG162" s="163">
        <f t="shared" si="251"/>
        <v>12327.2</v>
      </c>
      <c r="AH162" s="163">
        <f t="shared" si="252"/>
        <v>-8966.5316666666658</v>
      </c>
    </row>
    <row r="163" spans="1:34" ht="16.5" customHeight="1" x14ac:dyDescent="0.25">
      <c r="A163" s="17"/>
      <c r="B163" s="69" t="s">
        <v>43</v>
      </c>
      <c r="C163" s="69" t="s">
        <v>44</v>
      </c>
      <c r="D163" s="32" t="s">
        <v>74</v>
      </c>
      <c r="E163" s="31" t="s">
        <v>245</v>
      </c>
      <c r="F163" s="36">
        <v>2044</v>
      </c>
      <c r="G163" s="127">
        <v>0.35</v>
      </c>
      <c r="H163" s="12">
        <v>0</v>
      </c>
      <c r="I163" s="11">
        <f>+H163*$G$181</f>
        <v>0</v>
      </c>
      <c r="J163" s="45">
        <v>6146</v>
      </c>
      <c r="K163" s="20">
        <f>J163/18</f>
        <v>341.44444444444446</v>
      </c>
      <c r="L163" s="11">
        <f>IF(+H163&gt;0,+H163*$G163,0)</f>
        <v>0</v>
      </c>
      <c r="M163" s="12">
        <f>H163-(K163+L163+I163)</f>
        <v>-341.44444444444446</v>
      </c>
      <c r="N163" s="54">
        <f>IF(H163&gt;0,IF(J163&gt;0,+H163/J163,"n/m"),0)</f>
        <v>0</v>
      </c>
      <c r="O163" s="14">
        <v>0</v>
      </c>
      <c r="P163" s="13">
        <f>+O163*$G$181</f>
        <v>0</v>
      </c>
      <c r="Q163" s="14">
        <v>5186</v>
      </c>
      <c r="R163" s="21">
        <f>Q163/18</f>
        <v>288.11111111111109</v>
      </c>
      <c r="S163" s="13">
        <f>IF(+O163&gt;0,+O163*$G163,0)</f>
        <v>0</v>
      </c>
      <c r="T163" s="14">
        <f>O163-(R163+S163+P163)</f>
        <v>-288.11111111111109</v>
      </c>
      <c r="U163" s="56">
        <f>IF(O163&gt;0,IF(Q163&gt;0,+O163/Q163,"n/m"),0)</f>
        <v>0</v>
      </c>
      <c r="V163" s="16">
        <v>0</v>
      </c>
      <c r="W163" s="15">
        <f>+V163*$G$181</f>
        <v>0</v>
      </c>
      <c r="X163" s="16">
        <v>5018.5</v>
      </c>
      <c r="Y163" s="22">
        <f>X163/18</f>
        <v>278.80555555555554</v>
      </c>
      <c r="Z163" s="15">
        <f>IF(+V163&gt;0,+V163*$G163,0)</f>
        <v>0</v>
      </c>
      <c r="AA163" s="16">
        <f>V163-(Y163+Z163+W163)</f>
        <v>-278.80555555555554</v>
      </c>
      <c r="AB163" s="58">
        <f>IF(V163&gt;0,IF(X163&gt;0,+V163/X163,"n/m"),0)</f>
        <v>0</v>
      </c>
      <c r="AC163" s="162">
        <f t="shared" si="247"/>
        <v>0</v>
      </c>
      <c r="AD163" s="163">
        <f t="shared" si="248"/>
        <v>0</v>
      </c>
      <c r="AE163" s="163">
        <f t="shared" si="249"/>
        <v>3401.5</v>
      </c>
      <c r="AF163" s="163">
        <f t="shared" si="250"/>
        <v>908.36111111111109</v>
      </c>
      <c r="AG163" s="163">
        <f t="shared" si="251"/>
        <v>0</v>
      </c>
      <c r="AH163" s="163">
        <f t="shared" si="252"/>
        <v>-908.36111111111109</v>
      </c>
    </row>
    <row r="164" spans="1:34" ht="16.5" customHeight="1" x14ac:dyDescent="0.25">
      <c r="A164" s="9"/>
      <c r="B164" s="69" t="s">
        <v>248</v>
      </c>
      <c r="C164" s="69" t="s">
        <v>249</v>
      </c>
      <c r="D164" s="32" t="s">
        <v>250</v>
      </c>
      <c r="E164" s="31" t="s">
        <v>245</v>
      </c>
      <c r="F164" s="32">
        <v>2453</v>
      </c>
      <c r="G164" s="130">
        <v>0.35</v>
      </c>
      <c r="H164" s="12">
        <v>0</v>
      </c>
      <c r="I164" s="11">
        <f>+H164*$G$183</f>
        <v>0</v>
      </c>
      <c r="J164" s="45">
        <v>36654.9</v>
      </c>
      <c r="K164" s="20">
        <f t="shared" ref="K164" si="262">J164/18</f>
        <v>2036.3833333333334</v>
      </c>
      <c r="L164" s="12">
        <v>0</v>
      </c>
      <c r="M164" s="37">
        <f t="shared" ref="M164" si="263">H164-(K164+L164+I164)</f>
        <v>-2036.3833333333334</v>
      </c>
      <c r="N164" s="54">
        <f t="shared" ref="N164" si="264">IF(H164&gt;0,IF(J164&gt;0,+H164/J164,"n/m"),0)</f>
        <v>0</v>
      </c>
      <c r="O164" s="14">
        <v>0</v>
      </c>
      <c r="P164" s="13">
        <f>+O164*$G$183</f>
        <v>0</v>
      </c>
      <c r="Q164" s="14">
        <v>19367.5</v>
      </c>
      <c r="R164" s="21">
        <f t="shared" ref="R164" si="265">Q164/18</f>
        <v>1075.9722222222222</v>
      </c>
      <c r="S164" s="14">
        <v>0</v>
      </c>
      <c r="T164" s="14">
        <f t="shared" ref="T164" si="266">O164-(R164+S164+P164)</f>
        <v>-1075.9722222222222</v>
      </c>
      <c r="U164" s="56">
        <f t="shared" ref="U164" si="267">IF(O164&gt;0,IF(Q164&gt;0,+O164/Q164,"n/m"),0)</f>
        <v>0</v>
      </c>
      <c r="V164" s="16">
        <v>0</v>
      </c>
      <c r="W164" s="15">
        <f>+V164*$G$183</f>
        <v>0</v>
      </c>
      <c r="X164" s="16">
        <v>18891.25</v>
      </c>
      <c r="Y164" s="22">
        <f t="shared" ref="Y164" si="268">X164/18</f>
        <v>1049.5138888888889</v>
      </c>
      <c r="Z164" s="16">
        <v>0</v>
      </c>
      <c r="AA164" s="16">
        <f t="shared" ref="AA164" si="269">V164-(Y164+Z164+W164)</f>
        <v>-1049.5138888888889</v>
      </c>
      <c r="AB164" s="58">
        <f t="shared" ref="AB164" si="270">IF(V164&gt;0,IF(X164&gt;0,+V164/X164,"n/m"),0)</f>
        <v>0</v>
      </c>
      <c r="AC164" s="162">
        <f t="shared" si="247"/>
        <v>0</v>
      </c>
      <c r="AD164" s="163">
        <f t="shared" si="248"/>
        <v>0</v>
      </c>
      <c r="AE164" s="163">
        <f t="shared" si="249"/>
        <v>12752.916666666666</v>
      </c>
      <c r="AF164" s="163">
        <f t="shared" si="250"/>
        <v>4161.8694444444445</v>
      </c>
      <c r="AG164" s="163">
        <f t="shared" si="251"/>
        <v>0</v>
      </c>
      <c r="AH164" s="163">
        <f t="shared" si="252"/>
        <v>-4161.8694444444445</v>
      </c>
    </row>
    <row r="165" spans="1:34" ht="16.5" customHeight="1" x14ac:dyDescent="0.25">
      <c r="A165" s="9"/>
      <c r="B165" s="70" t="s">
        <v>18</v>
      </c>
      <c r="C165" s="70" t="s">
        <v>24</v>
      </c>
      <c r="D165" s="31" t="s">
        <v>81</v>
      </c>
      <c r="E165" s="31" t="s">
        <v>245</v>
      </c>
      <c r="F165" s="31">
        <v>2277</v>
      </c>
      <c r="G165" s="126">
        <v>0.3</v>
      </c>
      <c r="H165" s="12">
        <v>0</v>
      </c>
      <c r="I165" s="11">
        <f>+H165*$G$181</f>
        <v>0</v>
      </c>
      <c r="J165" s="45">
        <v>3858</v>
      </c>
      <c r="K165" s="20">
        <f>+J165/18</f>
        <v>214.33333333333334</v>
      </c>
      <c r="L165" s="11">
        <f>IF(+H165&gt;=25000,0.35*H165,0.3*H165)</f>
        <v>0</v>
      </c>
      <c r="M165" s="37">
        <f>H165-(K165+L165+I165)</f>
        <v>-214.33333333333334</v>
      </c>
      <c r="N165" s="54">
        <f>IF(H165&gt;0,IF(J165&gt;0,+H165/J165,"n/m"),0)</f>
        <v>0</v>
      </c>
      <c r="O165" s="14">
        <v>0</v>
      </c>
      <c r="P165" s="13">
        <f>+O165*$G$181</f>
        <v>0</v>
      </c>
      <c r="Q165" s="14">
        <v>3050</v>
      </c>
      <c r="R165" s="21">
        <f>Q165/18</f>
        <v>169.44444444444446</v>
      </c>
      <c r="S165" s="13">
        <f>IF(+O165&gt;=25000,0.35*O165,0.3*O165)</f>
        <v>0</v>
      </c>
      <c r="T165" s="14">
        <f>O165-(R165+S165+P165)</f>
        <v>-169.44444444444446</v>
      </c>
      <c r="U165" s="56">
        <f>IF(O165&gt;0,IF(Q165&gt;0,+O165/Q165,"n/m"),0)</f>
        <v>0</v>
      </c>
      <c r="V165" s="16">
        <v>0</v>
      </c>
      <c r="W165" s="15">
        <f>+V165*$G$181</f>
        <v>0</v>
      </c>
      <c r="X165" s="16">
        <v>4022.5</v>
      </c>
      <c r="Y165" s="22">
        <f>X165/18</f>
        <v>223.47222222222223</v>
      </c>
      <c r="Z165" s="15">
        <f>IF(+V165&gt;=25000,0.35*V165,0.3*V165)</f>
        <v>0</v>
      </c>
      <c r="AA165" s="16">
        <f>V165-(Y165+Z165+W165)</f>
        <v>-223.47222222222223</v>
      </c>
      <c r="AB165" s="58">
        <f>IF(V165&gt;0,IF(X165&gt;0,+V165/X165,"n/m"),0)</f>
        <v>0</v>
      </c>
      <c r="AC165" s="162">
        <f t="shared" si="247"/>
        <v>0</v>
      </c>
      <c r="AD165" s="163">
        <f t="shared" si="248"/>
        <v>0</v>
      </c>
      <c r="AE165" s="163">
        <f t="shared" si="249"/>
        <v>2357.5</v>
      </c>
      <c r="AF165" s="163">
        <f t="shared" si="250"/>
        <v>607.25</v>
      </c>
      <c r="AG165" s="163">
        <f t="shared" si="251"/>
        <v>0</v>
      </c>
      <c r="AH165" s="163">
        <f t="shared" si="252"/>
        <v>-607.25</v>
      </c>
    </row>
    <row r="166" spans="1:34" ht="16.5" customHeight="1" x14ac:dyDescent="0.25">
      <c r="A166" s="9"/>
      <c r="B166" s="70" t="s">
        <v>328</v>
      </c>
      <c r="C166" s="70" t="s">
        <v>329</v>
      </c>
      <c r="D166" s="31" t="s">
        <v>78</v>
      </c>
      <c r="E166" s="31" t="s">
        <v>245</v>
      </c>
      <c r="F166" s="31">
        <v>2299</v>
      </c>
      <c r="G166" s="126">
        <v>0.4</v>
      </c>
      <c r="H166" s="12">
        <v>0</v>
      </c>
      <c r="I166" s="11">
        <f>+H166*$G$181</f>
        <v>0</v>
      </c>
      <c r="J166" s="45">
        <v>0</v>
      </c>
      <c r="K166" s="20">
        <f>+J166/18</f>
        <v>0</v>
      </c>
      <c r="L166" s="11">
        <f>IF(+H166&gt;0,+H166*$G166,0)</f>
        <v>0</v>
      </c>
      <c r="M166" s="37">
        <f>H166-(K166+L166+I166)</f>
        <v>0</v>
      </c>
      <c r="N166" s="54">
        <f>IF(H166&gt;0,IF(J166&gt;0,+H166/J166,"n/m"),0)</f>
        <v>0</v>
      </c>
      <c r="O166" s="14">
        <v>0</v>
      </c>
      <c r="P166" s="13">
        <f>+O166*$G$181</f>
        <v>0</v>
      </c>
      <c r="Q166" s="14">
        <v>0</v>
      </c>
      <c r="R166" s="21">
        <f>Q166/18</f>
        <v>0</v>
      </c>
      <c r="S166" s="13">
        <f>IF(+O166&gt;0,+O166*$G166,0)</f>
        <v>0</v>
      </c>
      <c r="T166" s="14">
        <f>O166-(R166+S166+P166)</f>
        <v>0</v>
      </c>
      <c r="U166" s="56">
        <f>IF(O166&gt;0,IF(Q166&gt;0,+O166/Q166,"n/m"),0)</f>
        <v>0</v>
      </c>
      <c r="V166" s="16">
        <v>0</v>
      </c>
      <c r="W166" s="15">
        <f>+V166*$G$181</f>
        <v>0</v>
      </c>
      <c r="X166" s="16">
        <v>0</v>
      </c>
      <c r="Y166" s="22">
        <f>X166/18</f>
        <v>0</v>
      </c>
      <c r="Z166" s="15">
        <f>IF(+V166&gt;0,+V166*$G166,0)</f>
        <v>0</v>
      </c>
      <c r="AA166" s="16">
        <f>V166-(Y166+Z166+W166)</f>
        <v>0</v>
      </c>
      <c r="AB166" s="58">
        <f>IF(V166&gt;0,IF(X166&gt;0,+V166/X166,"n/m"),0)</f>
        <v>0</v>
      </c>
      <c r="AC166" s="162">
        <f t="shared" si="247"/>
        <v>0</v>
      </c>
      <c r="AD166" s="163">
        <f t="shared" si="248"/>
        <v>0</v>
      </c>
      <c r="AE166" s="163">
        <f t="shared" si="249"/>
        <v>0</v>
      </c>
      <c r="AF166" s="163">
        <f t="shared" si="250"/>
        <v>0</v>
      </c>
      <c r="AG166" s="163">
        <f t="shared" si="251"/>
        <v>0</v>
      </c>
      <c r="AH166" s="163">
        <f t="shared" si="252"/>
        <v>0</v>
      </c>
    </row>
    <row r="167" spans="1:34" ht="16.5" customHeight="1" thickBot="1" x14ac:dyDescent="0.3">
      <c r="A167" s="9"/>
      <c r="B167" s="70" t="s">
        <v>355</v>
      </c>
      <c r="C167" s="70" t="s">
        <v>347</v>
      </c>
      <c r="D167" s="31" t="s">
        <v>78</v>
      </c>
      <c r="E167" s="31" t="s">
        <v>245</v>
      </c>
      <c r="F167" s="31">
        <v>3032</v>
      </c>
      <c r="G167" s="126">
        <v>0</v>
      </c>
      <c r="H167" s="12">
        <v>0</v>
      </c>
      <c r="I167" s="11">
        <f>+H167*$G$181</f>
        <v>0</v>
      </c>
      <c r="J167" s="45">
        <v>0</v>
      </c>
      <c r="K167" s="20">
        <f>+J167/18</f>
        <v>0</v>
      </c>
      <c r="L167" s="11">
        <f>IF(+H167&gt;0,+H167*$G167,0)</f>
        <v>0</v>
      </c>
      <c r="M167" s="37">
        <f>H167-(K167+L167+I167)</f>
        <v>0</v>
      </c>
      <c r="N167" s="54">
        <f>IF(H167&gt;0,IF(J167&gt;0,+H167/J167,"n/m"),0)</f>
        <v>0</v>
      </c>
      <c r="O167" s="14">
        <v>0</v>
      </c>
      <c r="P167" s="13">
        <f>+O167*$G$181</f>
        <v>0</v>
      </c>
      <c r="Q167" s="14">
        <v>0</v>
      </c>
      <c r="R167" s="21">
        <f>Q167/18</f>
        <v>0</v>
      </c>
      <c r="S167" s="13">
        <f>IF(+O167&gt;0,+O167*$G167,0)</f>
        <v>0</v>
      </c>
      <c r="T167" s="14">
        <f>O167-(R167+S167+P167)</f>
        <v>0</v>
      </c>
      <c r="U167" s="56">
        <f>IF(O167&gt;0,IF(Q167&gt;0,+O167/Q167,"n/m"),0)</f>
        <v>0</v>
      </c>
      <c r="V167" s="16">
        <v>0</v>
      </c>
      <c r="W167" s="15">
        <f>+V167*$G$181</f>
        <v>0</v>
      </c>
      <c r="X167" s="16">
        <v>0</v>
      </c>
      <c r="Y167" s="22">
        <f>X167/18</f>
        <v>0</v>
      </c>
      <c r="Z167" s="15">
        <f>IF(+V167&gt;0,+V167*$G167,0)</f>
        <v>0</v>
      </c>
      <c r="AA167" s="16">
        <f>V167-(Y167+Z167+W167)</f>
        <v>0</v>
      </c>
      <c r="AB167" s="58">
        <f>IF(V167&gt;0,IF(X167&gt;0,+V167/X167,"n/m"),0)</f>
        <v>0</v>
      </c>
      <c r="AC167" s="162">
        <f t="shared" si="247"/>
        <v>0</v>
      </c>
      <c r="AD167" s="163">
        <f t="shared" si="248"/>
        <v>0</v>
      </c>
      <c r="AE167" s="163">
        <f t="shared" si="249"/>
        <v>0</v>
      </c>
      <c r="AF167" s="163">
        <f t="shared" si="250"/>
        <v>0</v>
      </c>
      <c r="AG167" s="163">
        <f t="shared" si="251"/>
        <v>0</v>
      </c>
      <c r="AH167" s="163">
        <f t="shared" si="252"/>
        <v>0</v>
      </c>
    </row>
    <row r="168" spans="1:34" s="64" customFormat="1" ht="16.5" customHeight="1" thickBot="1" x14ac:dyDescent="0.25">
      <c r="B168" s="59" t="s">
        <v>245</v>
      </c>
      <c r="D168" s="62"/>
      <c r="E168" s="62"/>
      <c r="F168" s="62"/>
      <c r="G168" s="62"/>
      <c r="H168" s="90">
        <f t="shared" ref="H168:M168" si="271">SUM(H159:H167)</f>
        <v>353356.5</v>
      </c>
      <c r="I168" s="91">
        <f t="shared" si="271"/>
        <v>63604.17</v>
      </c>
      <c r="J168" s="90">
        <f t="shared" si="271"/>
        <v>1019393.8</v>
      </c>
      <c r="K168" s="79">
        <f t="shared" si="271"/>
        <v>56632.988888888882</v>
      </c>
      <c r="L168" s="91">
        <f t="shared" si="271"/>
        <v>25908.6</v>
      </c>
      <c r="M168" s="92">
        <f t="shared" si="271"/>
        <v>207210.74111111113</v>
      </c>
      <c r="N168" s="81">
        <f t="shared" si="255"/>
        <v>0.34663395049096823</v>
      </c>
      <c r="O168" s="96">
        <f t="shared" ref="O168:T168" si="272">SUM(O159:O167)</f>
        <v>225495</v>
      </c>
      <c r="P168" s="93">
        <f t="shared" si="272"/>
        <v>40589.1</v>
      </c>
      <c r="Q168" s="96">
        <f t="shared" si="272"/>
        <v>1006257.75</v>
      </c>
      <c r="R168" s="93">
        <f t="shared" si="272"/>
        <v>55903.208333333336</v>
      </c>
      <c r="S168" s="93">
        <f t="shared" si="272"/>
        <v>20980</v>
      </c>
      <c r="T168" s="96">
        <f t="shared" si="272"/>
        <v>108022.69166666668</v>
      </c>
      <c r="U168" s="85">
        <f t="shared" si="258"/>
        <v>0.22409268400665733</v>
      </c>
      <c r="V168" s="98">
        <f t="shared" ref="V168:AH168" si="273">SUM(V159:V167)</f>
        <v>269924</v>
      </c>
      <c r="W168" s="94">
        <f t="shared" si="273"/>
        <v>48586.32</v>
      </c>
      <c r="X168" s="98">
        <f t="shared" si="273"/>
        <v>951825.25</v>
      </c>
      <c r="Y168" s="94">
        <f t="shared" si="273"/>
        <v>52879.180555555555</v>
      </c>
      <c r="Z168" s="94">
        <f t="shared" si="273"/>
        <v>33693.599999999999</v>
      </c>
      <c r="AA168" s="98">
        <f t="shared" si="273"/>
        <v>134764.89944444448</v>
      </c>
      <c r="AB168" s="89">
        <f t="shared" si="261"/>
        <v>0.28358566869286145</v>
      </c>
      <c r="AC168" s="170">
        <f t="shared" si="273"/>
        <v>848775.5</v>
      </c>
      <c r="AD168" s="171">
        <f t="shared" si="273"/>
        <v>152779.58999999997</v>
      </c>
      <c r="AE168" s="170">
        <f t="shared" si="273"/>
        <v>770479.83333333337</v>
      </c>
      <c r="AF168" s="171">
        <f t="shared" si="273"/>
        <v>165415.37777777779</v>
      </c>
      <c r="AG168" s="171">
        <f t="shared" si="273"/>
        <v>80582.2</v>
      </c>
      <c r="AH168" s="170">
        <f t="shared" si="273"/>
        <v>449998.33222222223</v>
      </c>
    </row>
    <row r="169" spans="1:34" s="100" customFormat="1" x14ac:dyDescent="0.25">
      <c r="D169" s="101"/>
      <c r="E169" s="102"/>
      <c r="F169" s="101"/>
      <c r="G169" s="102"/>
      <c r="H169" s="103"/>
      <c r="I169" s="103"/>
      <c r="J169" s="103"/>
      <c r="K169" s="103"/>
      <c r="L169" s="81">
        <f>+L168/H168</f>
        <v>7.3321419020168019E-2</v>
      </c>
      <c r="M169" s="103"/>
      <c r="N169" s="81"/>
      <c r="O169" s="104"/>
      <c r="P169" s="104"/>
      <c r="Q169" s="104"/>
      <c r="R169" s="104"/>
      <c r="S169" s="85">
        <f>+S168/O168</f>
        <v>9.3039756979090449E-2</v>
      </c>
      <c r="T169" s="104"/>
      <c r="U169" s="104"/>
      <c r="V169" s="105"/>
      <c r="W169" s="105"/>
      <c r="X169" s="105"/>
      <c r="Y169" s="105"/>
      <c r="Z169" s="89">
        <f>+Z168/V168</f>
        <v>0.12482624738815369</v>
      </c>
      <c r="AA169" s="105"/>
      <c r="AB169" s="105"/>
      <c r="AC169" s="172"/>
      <c r="AD169" s="172"/>
      <c r="AE169" s="172"/>
      <c r="AF169" s="172"/>
      <c r="AG169" s="172"/>
      <c r="AH169" s="172"/>
    </row>
    <row r="170" spans="1:34" ht="16.5" customHeight="1" x14ac:dyDescent="0.25">
      <c r="A170" s="9"/>
      <c r="B170" s="70" t="s">
        <v>184</v>
      </c>
      <c r="C170" s="70" t="s">
        <v>183</v>
      </c>
      <c r="D170" s="31" t="s">
        <v>80</v>
      </c>
      <c r="E170" s="31" t="s">
        <v>129</v>
      </c>
      <c r="F170" s="31" t="s">
        <v>189</v>
      </c>
      <c r="G170" s="126">
        <v>0.35</v>
      </c>
      <c r="H170" s="12">
        <v>0</v>
      </c>
      <c r="I170" s="11">
        <f>+H170*$G$181</f>
        <v>0</v>
      </c>
      <c r="J170" s="45">
        <v>70034</v>
      </c>
      <c r="K170" s="20">
        <f t="shared" ref="K170:K174" si="274">J170/18</f>
        <v>3890.7777777777778</v>
      </c>
      <c r="L170" s="11">
        <f>IF(+H170&gt;0,+H170*$G170,0)</f>
        <v>0</v>
      </c>
      <c r="M170" s="12">
        <f t="shared" ref="M170:M174" si="275">H170-(K170+L170+I170)</f>
        <v>-3890.7777777777778</v>
      </c>
      <c r="N170" s="54">
        <f t="shared" ref="N170:N175" si="276">IF(H170&gt;0,IF(J170&gt;0,+H170/J170,"n/m"),0)</f>
        <v>0</v>
      </c>
      <c r="O170" s="14">
        <v>0</v>
      </c>
      <c r="P170" s="13">
        <f>+O170*$G$181</f>
        <v>0</v>
      </c>
      <c r="Q170" s="14">
        <v>69794</v>
      </c>
      <c r="R170" s="21">
        <f t="shared" ref="R170:R174" si="277">Q170/18</f>
        <v>3877.4444444444443</v>
      </c>
      <c r="S170" s="13">
        <f>IF(+O170&gt;0,+O170*$G170,0)</f>
        <v>0</v>
      </c>
      <c r="T170" s="14">
        <f t="shared" ref="T170:T174" si="278">O170-(R170+S170+P170)</f>
        <v>-3877.4444444444443</v>
      </c>
      <c r="U170" s="56">
        <f t="shared" ref="U170:U175" si="279">IF(O170&gt;0,IF(Q170&gt;0,+O170/Q170,"n/m"),0)</f>
        <v>0</v>
      </c>
      <c r="V170" s="16">
        <v>0</v>
      </c>
      <c r="W170" s="15">
        <f>+V170*$G$181</f>
        <v>0</v>
      </c>
      <c r="X170" s="16">
        <v>69722.75</v>
      </c>
      <c r="Y170" s="22">
        <f t="shared" ref="Y170:Y174" si="280">X170/18</f>
        <v>3873.4861111111113</v>
      </c>
      <c r="Z170" s="15">
        <f>IF(+V170&gt;0,+V170*$G170,0)</f>
        <v>0</v>
      </c>
      <c r="AA170" s="16">
        <f t="shared" ref="AA170:AA174" si="281">V170-(Y170+Z170+W170)</f>
        <v>-3873.4861111111113</v>
      </c>
      <c r="AB170" s="58">
        <f t="shared" ref="AB170:AB175" si="282">IF(V170&gt;0,IF(X170&gt;0,+V170/X170,"n/m"),0)</f>
        <v>0</v>
      </c>
      <c r="AC170" s="162">
        <f t="shared" ref="AC170:AC174" si="283">+H170+O170+V170</f>
        <v>0</v>
      </c>
      <c r="AD170" s="163">
        <f t="shared" ref="AD170:AD174" si="284">+I170+P170+W170</f>
        <v>0</v>
      </c>
      <c r="AE170" s="163">
        <f t="shared" ref="AE170:AE174" si="285">(+H170+Q170+X170)/3</f>
        <v>46505.583333333336</v>
      </c>
      <c r="AF170" s="163">
        <f t="shared" ref="AF170:AF174" si="286">+K170+R170+Y170</f>
        <v>11641.708333333334</v>
      </c>
      <c r="AG170" s="163">
        <f t="shared" ref="AG170:AG174" si="287">+L170+S170+Z170</f>
        <v>0</v>
      </c>
      <c r="AH170" s="163">
        <f t="shared" ref="AH170:AH174" si="288">+AC170-AD170-AF170-AG170</f>
        <v>-11641.708333333334</v>
      </c>
    </row>
    <row r="171" spans="1:34" ht="16.5" customHeight="1" x14ac:dyDescent="0.25">
      <c r="A171" s="9"/>
      <c r="B171" s="70" t="s">
        <v>252</v>
      </c>
      <c r="C171" s="70" t="s">
        <v>254</v>
      </c>
      <c r="D171" s="31" t="s">
        <v>253</v>
      </c>
      <c r="E171" s="31" t="s">
        <v>129</v>
      </c>
      <c r="F171" s="31">
        <v>2440</v>
      </c>
      <c r="G171" s="126" t="s">
        <v>8</v>
      </c>
      <c r="H171" s="12">
        <v>15640</v>
      </c>
      <c r="I171" s="11">
        <f>+H171*$G$183</f>
        <v>3910</v>
      </c>
      <c r="J171" s="45">
        <v>0</v>
      </c>
      <c r="K171" s="20">
        <f t="shared" si="274"/>
        <v>0</v>
      </c>
      <c r="L171" s="11">
        <v>0</v>
      </c>
      <c r="M171" s="12">
        <f t="shared" si="275"/>
        <v>11730</v>
      </c>
      <c r="N171" s="54" t="str">
        <f t="shared" si="276"/>
        <v>n/m</v>
      </c>
      <c r="O171" s="14">
        <v>20800</v>
      </c>
      <c r="P171" s="13">
        <f>+O171*$G$183</f>
        <v>5200</v>
      </c>
      <c r="Q171" s="14">
        <v>0</v>
      </c>
      <c r="R171" s="21">
        <f t="shared" si="277"/>
        <v>0</v>
      </c>
      <c r="S171" s="13">
        <v>0</v>
      </c>
      <c r="T171" s="14">
        <f t="shared" si="278"/>
        <v>15600</v>
      </c>
      <c r="U171" s="56" t="str">
        <f t="shared" si="279"/>
        <v>n/m</v>
      </c>
      <c r="V171" s="16">
        <v>22035</v>
      </c>
      <c r="W171" s="15">
        <f>+V171*$G$183</f>
        <v>5508.75</v>
      </c>
      <c r="X171" s="16">
        <v>0</v>
      </c>
      <c r="Y171" s="22">
        <f t="shared" si="280"/>
        <v>0</v>
      </c>
      <c r="Z171" s="15">
        <v>0</v>
      </c>
      <c r="AA171" s="16">
        <f t="shared" si="281"/>
        <v>16526.25</v>
      </c>
      <c r="AB171" s="58" t="str">
        <f t="shared" si="282"/>
        <v>n/m</v>
      </c>
      <c r="AC171" s="162">
        <f t="shared" si="283"/>
        <v>58475</v>
      </c>
      <c r="AD171" s="163">
        <f t="shared" si="284"/>
        <v>14618.75</v>
      </c>
      <c r="AE171" s="163">
        <f t="shared" si="285"/>
        <v>5213.333333333333</v>
      </c>
      <c r="AF171" s="163">
        <f t="shared" si="286"/>
        <v>0</v>
      </c>
      <c r="AG171" s="163">
        <f t="shared" si="287"/>
        <v>0</v>
      </c>
      <c r="AH171" s="163">
        <f t="shared" si="288"/>
        <v>43856.25</v>
      </c>
    </row>
    <row r="172" spans="1:34" ht="16.5" customHeight="1" x14ac:dyDescent="0.25">
      <c r="A172" s="9"/>
      <c r="B172" s="70" t="s">
        <v>257</v>
      </c>
      <c r="C172" s="70" t="s">
        <v>258</v>
      </c>
      <c r="D172" s="31" t="s">
        <v>259</v>
      </c>
      <c r="E172" s="31" t="s">
        <v>129</v>
      </c>
      <c r="F172" s="31">
        <v>2415</v>
      </c>
      <c r="G172" s="126" t="s">
        <v>8</v>
      </c>
      <c r="H172" s="12">
        <v>0</v>
      </c>
      <c r="I172" s="11">
        <f>+H172*$G$183</f>
        <v>0</v>
      </c>
      <c r="J172" s="45">
        <v>505</v>
      </c>
      <c r="K172" s="20">
        <f t="shared" si="274"/>
        <v>28.055555555555557</v>
      </c>
      <c r="L172" s="11">
        <v>0</v>
      </c>
      <c r="M172" s="12">
        <f t="shared" si="275"/>
        <v>-28.055555555555557</v>
      </c>
      <c r="N172" s="54">
        <f t="shared" si="276"/>
        <v>0</v>
      </c>
      <c r="O172" s="14">
        <v>0</v>
      </c>
      <c r="P172" s="13">
        <f>+O172*$G$183</f>
        <v>0</v>
      </c>
      <c r="Q172" s="14">
        <v>505</v>
      </c>
      <c r="R172" s="21">
        <f t="shared" si="277"/>
        <v>28.055555555555557</v>
      </c>
      <c r="S172" s="13">
        <v>0</v>
      </c>
      <c r="T172" s="14">
        <f t="shared" si="278"/>
        <v>-28.055555555555557</v>
      </c>
      <c r="U172" s="56">
        <f t="shared" si="279"/>
        <v>0</v>
      </c>
      <c r="V172" s="16">
        <v>0</v>
      </c>
      <c r="W172" s="15">
        <f>+V172*$G$183</f>
        <v>0</v>
      </c>
      <c r="X172" s="16">
        <v>505</v>
      </c>
      <c r="Y172" s="22">
        <f t="shared" si="280"/>
        <v>28.055555555555557</v>
      </c>
      <c r="Z172" s="15">
        <v>0</v>
      </c>
      <c r="AA172" s="16">
        <f t="shared" si="281"/>
        <v>-28.055555555555557</v>
      </c>
      <c r="AB172" s="58">
        <f t="shared" si="282"/>
        <v>0</v>
      </c>
      <c r="AC172" s="162">
        <f t="shared" si="283"/>
        <v>0</v>
      </c>
      <c r="AD172" s="163">
        <f t="shared" si="284"/>
        <v>0</v>
      </c>
      <c r="AE172" s="163">
        <f t="shared" si="285"/>
        <v>336.66666666666669</v>
      </c>
      <c r="AF172" s="163">
        <f t="shared" si="286"/>
        <v>84.166666666666671</v>
      </c>
      <c r="AG172" s="163">
        <f t="shared" si="287"/>
        <v>0</v>
      </c>
      <c r="AH172" s="163">
        <f t="shared" si="288"/>
        <v>-84.166666666666671</v>
      </c>
    </row>
    <row r="173" spans="1:34" ht="16.5" customHeight="1" x14ac:dyDescent="0.25">
      <c r="A173" s="9"/>
      <c r="B173" s="70" t="s">
        <v>262</v>
      </c>
      <c r="C173" s="70" t="s">
        <v>260</v>
      </c>
      <c r="D173" s="31" t="s">
        <v>261</v>
      </c>
      <c r="E173" s="31" t="s">
        <v>129</v>
      </c>
      <c r="F173" s="31">
        <v>2423</v>
      </c>
      <c r="G173" s="126" t="s">
        <v>8</v>
      </c>
      <c r="H173" s="12">
        <v>0</v>
      </c>
      <c r="I173" s="11">
        <f>+H173*$G$183</f>
        <v>0</v>
      </c>
      <c r="J173" s="45">
        <v>118498</v>
      </c>
      <c r="K173" s="20">
        <f t="shared" si="274"/>
        <v>6583.2222222222226</v>
      </c>
      <c r="L173" s="11">
        <v>0</v>
      </c>
      <c r="M173" s="12">
        <f t="shared" si="275"/>
        <v>-6583.2222222222226</v>
      </c>
      <c r="N173" s="54">
        <f t="shared" si="276"/>
        <v>0</v>
      </c>
      <c r="O173" s="14">
        <v>18448</v>
      </c>
      <c r="P173" s="13">
        <f>+O173*$G$183</f>
        <v>4612</v>
      </c>
      <c r="Q173" s="14">
        <v>107623</v>
      </c>
      <c r="R173" s="21">
        <f t="shared" si="277"/>
        <v>5979.0555555555557</v>
      </c>
      <c r="S173" s="13">
        <v>0</v>
      </c>
      <c r="T173" s="14">
        <f t="shared" si="278"/>
        <v>7856.9444444444453</v>
      </c>
      <c r="U173" s="56">
        <f t="shared" si="279"/>
        <v>0.17141317376397239</v>
      </c>
      <c r="V173" s="16">
        <v>0</v>
      </c>
      <c r="W173" s="15">
        <f>+V173*$G$183</f>
        <v>0</v>
      </c>
      <c r="X173" s="16">
        <v>107563</v>
      </c>
      <c r="Y173" s="22">
        <f t="shared" si="280"/>
        <v>5975.7222222222226</v>
      </c>
      <c r="Z173" s="15">
        <v>0</v>
      </c>
      <c r="AA173" s="16">
        <f t="shared" si="281"/>
        <v>-5975.7222222222226</v>
      </c>
      <c r="AB173" s="58">
        <f t="shared" si="282"/>
        <v>0</v>
      </c>
      <c r="AC173" s="162">
        <f t="shared" si="283"/>
        <v>18448</v>
      </c>
      <c r="AD173" s="163">
        <f t="shared" si="284"/>
        <v>4612</v>
      </c>
      <c r="AE173" s="163">
        <f t="shared" si="285"/>
        <v>71728.666666666672</v>
      </c>
      <c r="AF173" s="163">
        <f t="shared" si="286"/>
        <v>18538</v>
      </c>
      <c r="AG173" s="163">
        <f t="shared" si="287"/>
        <v>0</v>
      </c>
      <c r="AH173" s="163">
        <f t="shared" si="288"/>
        <v>-4702</v>
      </c>
    </row>
    <row r="174" spans="1:34" ht="16.5" customHeight="1" thickBot="1" x14ac:dyDescent="0.3">
      <c r="A174" s="9"/>
      <c r="B174" s="70" t="s">
        <v>340</v>
      </c>
      <c r="C174" s="70" t="s">
        <v>285</v>
      </c>
      <c r="D174" s="31" t="s">
        <v>286</v>
      </c>
      <c r="E174" s="31" t="s">
        <v>129</v>
      </c>
      <c r="F174" s="31">
        <v>2454</v>
      </c>
      <c r="G174" s="126" t="s">
        <v>8</v>
      </c>
      <c r="H174" s="12">
        <v>112600</v>
      </c>
      <c r="I174" s="11">
        <f>+H174*$G$183</f>
        <v>28150</v>
      </c>
      <c r="J174" s="45">
        <v>13598</v>
      </c>
      <c r="K174" s="20">
        <f t="shared" si="274"/>
        <v>755.44444444444446</v>
      </c>
      <c r="L174" s="11">
        <v>0</v>
      </c>
      <c r="M174" s="12">
        <f t="shared" si="275"/>
        <v>83694.555555555562</v>
      </c>
      <c r="N174" s="54">
        <f t="shared" si="276"/>
        <v>8.280629504338874</v>
      </c>
      <c r="O174" s="14">
        <v>37025</v>
      </c>
      <c r="P174" s="13">
        <f>+O174*$G$183</f>
        <v>9256.25</v>
      </c>
      <c r="Q174" s="14">
        <v>12552</v>
      </c>
      <c r="R174" s="21">
        <f t="shared" si="277"/>
        <v>697.33333333333337</v>
      </c>
      <c r="S174" s="13">
        <v>0</v>
      </c>
      <c r="T174" s="14">
        <f t="shared" si="278"/>
        <v>27071.416666666664</v>
      </c>
      <c r="U174" s="56">
        <f t="shared" si="279"/>
        <v>2.9497291268323771</v>
      </c>
      <c r="V174" s="16">
        <v>0</v>
      </c>
      <c r="W174" s="15">
        <f>+V174*0.65</f>
        <v>0</v>
      </c>
      <c r="X174" s="16">
        <v>12552</v>
      </c>
      <c r="Y174" s="22">
        <f t="shared" si="280"/>
        <v>697.33333333333337</v>
      </c>
      <c r="Z174" s="15">
        <v>0</v>
      </c>
      <c r="AA174" s="16">
        <f t="shared" si="281"/>
        <v>-697.33333333333337</v>
      </c>
      <c r="AB174" s="58">
        <f t="shared" si="282"/>
        <v>0</v>
      </c>
      <c r="AC174" s="162">
        <f t="shared" si="283"/>
        <v>149625</v>
      </c>
      <c r="AD174" s="163">
        <f t="shared" si="284"/>
        <v>37406.25</v>
      </c>
      <c r="AE174" s="163">
        <f t="shared" si="285"/>
        <v>45901.333333333336</v>
      </c>
      <c r="AF174" s="163">
        <f t="shared" si="286"/>
        <v>2150.1111111111113</v>
      </c>
      <c r="AG174" s="163">
        <f t="shared" si="287"/>
        <v>0</v>
      </c>
      <c r="AH174" s="163">
        <f t="shared" si="288"/>
        <v>110068.63888888889</v>
      </c>
    </row>
    <row r="175" spans="1:34" s="100" customFormat="1" ht="16.5" thickBot="1" x14ac:dyDescent="0.3">
      <c r="B175" s="59" t="s">
        <v>129</v>
      </c>
      <c r="D175" s="101"/>
      <c r="E175" s="102"/>
      <c r="F175" s="101"/>
      <c r="G175" s="102"/>
      <c r="H175" s="90">
        <f t="shared" ref="H175:M175" si="289">SUM(H170:H174)</f>
        <v>128240</v>
      </c>
      <c r="I175" s="91">
        <f t="shared" si="289"/>
        <v>32060</v>
      </c>
      <c r="J175" s="90">
        <f t="shared" si="289"/>
        <v>202635</v>
      </c>
      <c r="K175" s="79">
        <f t="shared" si="289"/>
        <v>11257.500000000002</v>
      </c>
      <c r="L175" s="91">
        <f t="shared" si="289"/>
        <v>0</v>
      </c>
      <c r="M175" s="92">
        <f t="shared" si="289"/>
        <v>84922.5</v>
      </c>
      <c r="N175" s="81">
        <f t="shared" si="276"/>
        <v>0.63286204258889134</v>
      </c>
      <c r="O175" s="96">
        <f t="shared" ref="O175:T175" si="290">SUM(O170:O174)</f>
        <v>76273</v>
      </c>
      <c r="P175" s="93">
        <f t="shared" si="290"/>
        <v>19068.25</v>
      </c>
      <c r="Q175" s="96">
        <f t="shared" si="290"/>
        <v>190474</v>
      </c>
      <c r="R175" s="84">
        <f t="shared" si="290"/>
        <v>10581.888888888889</v>
      </c>
      <c r="S175" s="93">
        <f t="shared" ref="S175" si="291">SUM(S170:S174)</f>
        <v>0</v>
      </c>
      <c r="T175" s="131">
        <f t="shared" si="290"/>
        <v>46622.861111111109</v>
      </c>
      <c r="U175" s="85">
        <f t="shared" si="279"/>
        <v>0.40043785503533291</v>
      </c>
      <c r="V175" s="98">
        <f t="shared" ref="V175:AH175" si="292">SUM(V170:V174)</f>
        <v>22035</v>
      </c>
      <c r="W175" s="94">
        <f t="shared" si="292"/>
        <v>5508.75</v>
      </c>
      <c r="X175" s="98">
        <f t="shared" si="292"/>
        <v>190342.75</v>
      </c>
      <c r="Y175" s="88">
        <f t="shared" si="292"/>
        <v>10574.597222222224</v>
      </c>
      <c r="Z175" s="94">
        <f t="shared" ref="Z175" si="293">SUM(Z170:Z174)</f>
        <v>0</v>
      </c>
      <c r="AA175" s="133">
        <f t="shared" si="292"/>
        <v>5951.6527777777783</v>
      </c>
      <c r="AB175" s="89">
        <f t="shared" si="282"/>
        <v>0.11576485051308757</v>
      </c>
      <c r="AC175" s="170">
        <f t="shared" si="292"/>
        <v>226548</v>
      </c>
      <c r="AD175" s="171">
        <f t="shared" si="292"/>
        <v>56637</v>
      </c>
      <c r="AE175" s="170">
        <f t="shared" si="292"/>
        <v>169685.58333333334</v>
      </c>
      <c r="AF175" s="171">
        <f t="shared" si="292"/>
        <v>32413.986111111109</v>
      </c>
      <c r="AG175" s="171">
        <f t="shared" si="292"/>
        <v>0</v>
      </c>
      <c r="AH175" s="173">
        <f t="shared" si="292"/>
        <v>137497.01388888888</v>
      </c>
    </row>
    <row r="176" spans="1:34" s="100" customFormat="1" x14ac:dyDescent="0.25">
      <c r="D176" s="101"/>
      <c r="E176" s="102"/>
      <c r="F176" s="101"/>
      <c r="G176" s="102"/>
      <c r="H176" s="103"/>
      <c r="I176" s="103"/>
      <c r="J176" s="103"/>
      <c r="K176" s="103"/>
      <c r="L176" s="81">
        <f>+L175/H175</f>
        <v>0</v>
      </c>
      <c r="M176" s="103"/>
      <c r="N176" s="81"/>
      <c r="O176" s="132"/>
      <c r="P176" s="132"/>
      <c r="Q176" s="132"/>
      <c r="R176" s="132"/>
      <c r="S176" s="85">
        <f>+S175/O175</f>
        <v>0</v>
      </c>
      <c r="T176" s="132"/>
      <c r="U176" s="85"/>
      <c r="V176" s="134"/>
      <c r="W176" s="134"/>
      <c r="X176" s="134"/>
      <c r="Y176" s="134"/>
      <c r="Z176" s="89">
        <f>+Z175/V175</f>
        <v>0</v>
      </c>
      <c r="AA176" s="134"/>
      <c r="AB176" s="89"/>
      <c r="AC176" s="172"/>
      <c r="AD176" s="172"/>
      <c r="AE176" s="172"/>
      <c r="AF176" s="172"/>
      <c r="AG176" s="172"/>
      <c r="AH176" s="172"/>
    </row>
    <row r="177" spans="1:34" ht="16.5" customHeight="1" x14ac:dyDescent="0.25">
      <c r="A177" s="9"/>
      <c r="B177" s="70" t="s">
        <v>362</v>
      </c>
      <c r="C177" s="70" t="s">
        <v>363</v>
      </c>
      <c r="D177" s="31" t="s">
        <v>364</v>
      </c>
      <c r="E177" s="31" t="s">
        <v>365</v>
      </c>
      <c r="F177" s="31">
        <v>2537</v>
      </c>
      <c r="G177" s="126">
        <v>0.4</v>
      </c>
      <c r="H177" s="12">
        <v>1450</v>
      </c>
      <c r="I177" s="11">
        <f>+H177*$G$181</f>
        <v>261</v>
      </c>
      <c r="J177" s="45">
        <v>19524</v>
      </c>
      <c r="K177" s="20">
        <f>+J177/18</f>
        <v>1084.6666666666667</v>
      </c>
      <c r="L177" s="11">
        <f>IF(+H177&gt;0,+H177*$G177,0)</f>
        <v>580</v>
      </c>
      <c r="M177" s="37">
        <f>H177-(K177+L177+I177)</f>
        <v>-475.66666666666674</v>
      </c>
      <c r="N177" s="54">
        <f>IF(H177&gt;0,IF(J177&gt;0,+H177/J177,"n/m"),0)</f>
        <v>7.4267568121286626E-2</v>
      </c>
      <c r="O177" s="14">
        <v>0</v>
      </c>
      <c r="P177" s="13">
        <f>+O177*$G$181</f>
        <v>0</v>
      </c>
      <c r="Q177" s="14">
        <v>3355</v>
      </c>
      <c r="R177" s="21">
        <f>Q177/18</f>
        <v>186.38888888888889</v>
      </c>
      <c r="S177" s="13">
        <f>IF(+O177&gt;0,+O177*$G177,0)</f>
        <v>0</v>
      </c>
      <c r="T177" s="14">
        <f>O177-(R177+S177+P177)</f>
        <v>-186.38888888888889</v>
      </c>
      <c r="U177" s="56">
        <f>IF(O177&gt;0,IF(Q177&gt;0,+O177/Q177,"n/m"),0)</f>
        <v>0</v>
      </c>
      <c r="V177" s="16">
        <v>0</v>
      </c>
      <c r="W177" s="15">
        <f>+V177*$G$181</f>
        <v>0</v>
      </c>
      <c r="X177" s="16">
        <v>3615</v>
      </c>
      <c r="Y177" s="22">
        <f>X177/18</f>
        <v>200.83333333333334</v>
      </c>
      <c r="Z177" s="15">
        <f>IF(+V177&gt;0,+V177*$G177,0)</f>
        <v>0</v>
      </c>
      <c r="AA177" s="16">
        <f>V177-(Y177+Z177+W177)</f>
        <v>-200.83333333333334</v>
      </c>
      <c r="AB177" s="58">
        <f>IF(V177&gt;0,IF(X177&gt;0,+V177/X177,"n/m"),0)</f>
        <v>0</v>
      </c>
      <c r="AC177" s="162">
        <f t="shared" ref="AC177:AC178" si="294">+H177+O177+V177</f>
        <v>1450</v>
      </c>
      <c r="AD177" s="163">
        <f t="shared" ref="AD177:AD178" si="295">+I177+P177+W177</f>
        <v>261</v>
      </c>
      <c r="AE177" s="163">
        <f t="shared" ref="AE177:AE178" si="296">(+H177+Q177+X177)/3</f>
        <v>2806.6666666666665</v>
      </c>
      <c r="AF177" s="163">
        <f t="shared" ref="AF177:AF178" si="297">+K177+R177+Y177</f>
        <v>1471.8888888888889</v>
      </c>
      <c r="AG177" s="163">
        <f t="shared" ref="AG177:AG178" si="298">+L177+S177+Z177</f>
        <v>580</v>
      </c>
      <c r="AH177" s="163">
        <f t="shared" ref="AH177:AH178" si="299">+AC177-AD177-AF177-AG177</f>
        <v>-862.88888888888891</v>
      </c>
    </row>
    <row r="178" spans="1:34" s="100" customFormat="1" ht="16.5" thickBot="1" x14ac:dyDescent="0.3">
      <c r="B178" s="70" t="s">
        <v>394</v>
      </c>
      <c r="C178" s="70" t="s">
        <v>395</v>
      </c>
      <c r="D178" s="31" t="s">
        <v>364</v>
      </c>
      <c r="E178" s="31" t="s">
        <v>365</v>
      </c>
      <c r="F178" s="31">
        <v>2542</v>
      </c>
      <c r="G178" s="126">
        <v>0.4</v>
      </c>
      <c r="H178" s="149"/>
      <c r="I178" s="148"/>
      <c r="J178" s="45"/>
      <c r="K178" s="148"/>
      <c r="L178" s="54"/>
      <c r="M178" s="148"/>
      <c r="N178" s="54"/>
      <c r="O178" s="14">
        <v>14000</v>
      </c>
      <c r="P178" s="13">
        <f>+O178*$G$181</f>
        <v>2520</v>
      </c>
      <c r="Q178" s="14">
        <v>5109</v>
      </c>
      <c r="R178" s="21">
        <f>Q178/18</f>
        <v>283.83333333333331</v>
      </c>
      <c r="S178" s="13">
        <f>IF(+O178&gt;0,+O178*$G178,0)</f>
        <v>5600</v>
      </c>
      <c r="T178" s="14">
        <f>O178-(R178+S178+P178)</f>
        <v>5596.1666666666679</v>
      </c>
      <c r="U178" s="56">
        <f>IF(O178&gt;0,IF(Q178&gt;0,+O178/Q178,"n/m"),0)</f>
        <v>2.7402622822470151</v>
      </c>
      <c r="V178" s="16">
        <v>35000</v>
      </c>
      <c r="W178" s="15">
        <f>+V178*$G$181</f>
        <v>6300</v>
      </c>
      <c r="X178" s="16">
        <v>22017.5</v>
      </c>
      <c r="Y178" s="22">
        <f>X178/18</f>
        <v>1223.1944444444443</v>
      </c>
      <c r="Z178" s="15">
        <f>IF(+V178&gt;0,+V178*$G178,0)</f>
        <v>14000</v>
      </c>
      <c r="AA178" s="16">
        <f>V178-(Y178+Z178+W178)</f>
        <v>13476.805555555555</v>
      </c>
      <c r="AB178" s="58"/>
      <c r="AC178" s="162">
        <f t="shared" si="294"/>
        <v>49000</v>
      </c>
      <c r="AD178" s="163">
        <f t="shared" si="295"/>
        <v>8820</v>
      </c>
      <c r="AE178" s="163">
        <f t="shared" si="296"/>
        <v>9042.1666666666661</v>
      </c>
      <c r="AF178" s="163">
        <f t="shared" si="297"/>
        <v>1507.0277777777776</v>
      </c>
      <c r="AG178" s="163">
        <f t="shared" si="298"/>
        <v>19600</v>
      </c>
      <c r="AH178" s="163">
        <f t="shared" si="299"/>
        <v>19072.972222222219</v>
      </c>
    </row>
    <row r="179" spans="1:34" s="100" customFormat="1" ht="16.5" thickBot="1" x14ac:dyDescent="0.3">
      <c r="B179" s="59" t="s">
        <v>365</v>
      </c>
      <c r="D179" s="101"/>
      <c r="E179" s="102"/>
      <c r="F179" s="101"/>
      <c r="G179" s="102"/>
      <c r="H179" s="150">
        <f t="shared" ref="H179:M179" si="300">SUM(H177:H178)</f>
        <v>1450</v>
      </c>
      <c r="I179" s="151">
        <f t="shared" si="300"/>
        <v>261</v>
      </c>
      <c r="J179" s="150">
        <f t="shared" si="300"/>
        <v>19524</v>
      </c>
      <c r="K179" s="151">
        <f t="shared" si="300"/>
        <v>1084.6666666666667</v>
      </c>
      <c r="L179" s="151">
        <f t="shared" si="300"/>
        <v>580</v>
      </c>
      <c r="M179" s="150">
        <f t="shared" si="300"/>
        <v>-475.66666666666674</v>
      </c>
      <c r="N179" s="81">
        <f t="shared" ref="N179" si="301">IF(H179&gt;0,IF(J179&gt;0,+H179/J179,"n/m"),0)</f>
        <v>7.4267568121286626E-2</v>
      </c>
      <c r="O179" s="152">
        <f t="shared" ref="O179:T179" si="302">SUM(O177:O178)</f>
        <v>14000</v>
      </c>
      <c r="P179" s="153">
        <f t="shared" si="302"/>
        <v>2520</v>
      </c>
      <c r="Q179" s="152">
        <f t="shared" si="302"/>
        <v>8464</v>
      </c>
      <c r="R179" s="153">
        <f t="shared" si="302"/>
        <v>470.22222222222217</v>
      </c>
      <c r="S179" s="153">
        <f t="shared" ref="S179" si="303">SUM(S177:S178)</f>
        <v>5600</v>
      </c>
      <c r="T179" s="152">
        <f t="shared" si="302"/>
        <v>5409.7777777777792</v>
      </c>
      <c r="U179" s="85">
        <f t="shared" ref="U179" si="304">IF(O179&gt;0,IF(Q179&gt;0,+O179/Q179,"n/m"),0)</f>
        <v>1.6540642722117203</v>
      </c>
      <c r="V179" s="154">
        <f t="shared" ref="V179:AH179" si="305">SUM(V177:V178)</f>
        <v>35000</v>
      </c>
      <c r="W179" s="155">
        <f t="shared" si="305"/>
        <v>6300</v>
      </c>
      <c r="X179" s="154">
        <f t="shared" si="305"/>
        <v>25632.5</v>
      </c>
      <c r="Y179" s="155">
        <f t="shared" si="305"/>
        <v>1424.0277777777776</v>
      </c>
      <c r="Z179" s="155">
        <f t="shared" ref="Z179" si="306">SUM(Z177:Z178)</f>
        <v>14000</v>
      </c>
      <c r="AA179" s="154">
        <f t="shared" si="305"/>
        <v>13275.972222222221</v>
      </c>
      <c r="AB179" s="89">
        <f t="shared" ref="AB179" si="307">IF(V179&gt;0,IF(X179&gt;0,+V179/X179,"n/m"),0)</f>
        <v>1.3654540134594753</v>
      </c>
      <c r="AC179" s="174">
        <f t="shared" si="305"/>
        <v>50450</v>
      </c>
      <c r="AD179" s="175">
        <f t="shared" si="305"/>
        <v>9081</v>
      </c>
      <c r="AE179" s="174">
        <f t="shared" si="305"/>
        <v>11848.833333333332</v>
      </c>
      <c r="AF179" s="175">
        <f t="shared" si="305"/>
        <v>2978.9166666666665</v>
      </c>
      <c r="AG179" s="175">
        <f t="shared" si="305"/>
        <v>20180</v>
      </c>
      <c r="AH179" s="174">
        <f t="shared" si="305"/>
        <v>18210.083333333328</v>
      </c>
    </row>
    <row r="180" spans="1:34" s="26" customFormat="1" hidden="1" x14ac:dyDescent="0.25">
      <c r="C180" s="136"/>
      <c r="D180" s="52"/>
      <c r="E180" s="52"/>
      <c r="F180" s="52"/>
      <c r="G180" s="52"/>
      <c r="H180" s="137">
        <f>+H168+H89+H69+H63+H43+H31+H157+H130+H122+H175+H179</f>
        <v>2795836.9</v>
      </c>
      <c r="I180" s="137">
        <f>+I168+I89+I69+I63+I43+I31+I157+I130+I122+I175+I179</f>
        <v>527078.67699999991</v>
      </c>
      <c r="K180" s="137">
        <f>+K168+K89+K69+K63+K43+K31+K157+K130+K122+K175+K179</f>
        <v>664174.6333333333</v>
      </c>
      <c r="L180" s="137">
        <f>+L168+L89+L69+L63+L43+L31+L157+L130+L122+L175+L179</f>
        <v>912659.62</v>
      </c>
      <c r="M180" s="137">
        <f>+M168+M89+M69+M63+M43+M31+M157+M130+M122+M175+M179</f>
        <v>691923.96966666682</v>
      </c>
      <c r="N180" s="138"/>
      <c r="O180" s="137">
        <f>+O168+O89+O69+O63+O43+O31+O157+O130+O122+O175+O179</f>
        <v>2630474.5500000003</v>
      </c>
      <c r="P180" s="137">
        <f>+P168+P89+P69+P63+P43+P31+P157+P130+P122+P175+P179</f>
        <v>503838.01399999997</v>
      </c>
      <c r="R180" s="137">
        <f>+R168+R89+R69+R63+R43+R31+R157+R130+R122+R175+R179</f>
        <v>679498.52777777775</v>
      </c>
      <c r="S180" s="137">
        <f>+S168+S89+S69+S63+S43+S31+S157+S130+S122+S175+S179</f>
        <v>940456.31510940928</v>
      </c>
      <c r="T180" s="137">
        <f>+T168+T89+T69+T63+T43+T31+T157+T130+T122+T175+T179</f>
        <v>506681.69311281305</v>
      </c>
      <c r="V180" s="137">
        <f>+V168+V89+V69+V63+V43+V31+V157+V130+V122+V175+V179</f>
        <v>2794148.9399999995</v>
      </c>
      <c r="W180" s="137">
        <f>+W168+W89+W69+W63+W43+W31+W157+W130+W122+W175+W179</f>
        <v>531389.76919999998</v>
      </c>
      <c r="Y180" s="137">
        <f>+Y168+Y89+Y69+Y63+Y43+Y31+Y157+Y130+Y122+Y175+Y179</f>
        <v>665986.4444444445</v>
      </c>
      <c r="Z180" s="137">
        <f>+Z168+Z89+Z69+Z63+Z43+Z31+Z157+Z130+Z122+Z175+Z179</f>
        <v>1033154.657787914</v>
      </c>
      <c r="AA180" s="137">
        <f>+AA168+AA89+AA69+AA63+AA43+AA31+AA157+AA130+AA122+AA175+AA179</f>
        <v>563618.06856764155</v>
      </c>
      <c r="AC180" s="137">
        <f>+AC168+AC89+AC69+AC63+AC43+AC31+AC157+AC130+AC122+AC175+AC179</f>
        <v>8220460.3899999987</v>
      </c>
      <c r="AD180" s="137">
        <f>+AD168+AD89+AD69+AD63+AD43+AD31+AD157+AD130+AD122+AD175+AD179</f>
        <v>1562306.4601999999</v>
      </c>
      <c r="AF180" s="137">
        <f>+AF168+AF89+AF69+AF63+AF43+AF31+AF157+AF130+AF122+AF175+AF179</f>
        <v>2009659.6055555558</v>
      </c>
      <c r="AG180" s="137">
        <f>+AG168+AG89+AG69+AG63+AG43+AG31+AG157+AG130+AG122+AG175+AG179</f>
        <v>2886270.5928973239</v>
      </c>
      <c r="AH180" s="137">
        <f>+AH168+AH89+AH69+AH63+AH43+AH31+AH157+AH130+AH122+AH175+AH179</f>
        <v>1762223.7313471211</v>
      </c>
    </row>
    <row r="181" spans="1:34" s="26" customFormat="1" hidden="1" x14ac:dyDescent="0.25">
      <c r="B181" s="136" t="s">
        <v>33</v>
      </c>
      <c r="D181" s="67"/>
      <c r="E181" s="67"/>
      <c r="F181" s="67"/>
      <c r="G181" s="139">
        <v>0.18</v>
      </c>
      <c r="M181" s="146">
        <f>+M180/H185</f>
        <v>0.24748366747240041</v>
      </c>
      <c r="N181" s="138"/>
      <c r="T181" s="145">
        <f>+T180/O185</f>
        <v>0.19261988036067978</v>
      </c>
      <c r="AA181" s="145">
        <f>+AA180/V185</f>
        <v>0.20171368122117414</v>
      </c>
      <c r="AC181" s="137">
        <f>+H180+O180+V180</f>
        <v>8220460.3899999997</v>
      </c>
      <c r="AD181" s="137">
        <f>+I180+P180+W180</f>
        <v>1562306.4601999999</v>
      </c>
      <c r="AF181" s="137">
        <f>+K180+R180+Y180</f>
        <v>2009659.6055555556</v>
      </c>
      <c r="AG181" s="137">
        <f>+L180+S180+Z180</f>
        <v>2886270.5928973234</v>
      </c>
      <c r="AH181" s="137">
        <f>+M180+T180+AA180</f>
        <v>1762223.7313471213</v>
      </c>
    </row>
    <row r="182" spans="1:34" s="26" customFormat="1" hidden="1" x14ac:dyDescent="0.25">
      <c r="B182" s="136"/>
      <c r="C182" s="136"/>
      <c r="D182" s="67"/>
      <c r="E182" s="67"/>
      <c r="F182" s="67"/>
      <c r="G182" s="67"/>
      <c r="M182" s="138"/>
      <c r="N182" s="138"/>
      <c r="O182" s="141"/>
      <c r="S182" s="140"/>
      <c r="AA182" s="141"/>
      <c r="AH182" s="141"/>
    </row>
    <row r="183" spans="1:34" s="26" customFormat="1" hidden="1" x14ac:dyDescent="0.25">
      <c r="B183" s="136" t="s">
        <v>34</v>
      </c>
      <c r="C183" s="136"/>
      <c r="D183" s="67"/>
      <c r="E183" s="67"/>
      <c r="F183" s="67"/>
      <c r="G183" s="139">
        <v>0.25</v>
      </c>
      <c r="M183" s="138"/>
      <c r="N183" s="138"/>
      <c r="S183" s="140"/>
      <c r="AA183" s="44"/>
      <c r="AH183" s="44"/>
    </row>
    <row r="184" spans="1:34" s="26" customFormat="1" ht="15" hidden="1" customHeight="1" x14ac:dyDescent="0.25">
      <c r="D184" s="52"/>
      <c r="E184" s="52"/>
      <c r="F184" s="52"/>
      <c r="G184" s="52"/>
      <c r="M184" s="138"/>
      <c r="N184" s="138"/>
      <c r="Q184" s="144"/>
      <c r="S184" s="140"/>
      <c r="X184" s="144"/>
      <c r="AE184" s="144"/>
    </row>
    <row r="185" spans="1:34" s="117" customFormat="1" ht="15" hidden="1" customHeight="1" x14ac:dyDescent="0.2">
      <c r="B185" s="117" t="s">
        <v>50</v>
      </c>
      <c r="D185" s="118"/>
      <c r="E185" s="118"/>
      <c r="F185" s="118"/>
      <c r="G185" s="142" t="s">
        <v>41</v>
      </c>
      <c r="H185" s="117">
        <f t="shared" ref="H185:M185" si="308">+H168+H89+H69+H63+H43+H31+H157+H130+H122+H175+H179</f>
        <v>2795836.9</v>
      </c>
      <c r="I185" s="117">
        <f t="shared" si="308"/>
        <v>527078.67699999991</v>
      </c>
      <c r="J185" s="117">
        <f t="shared" si="308"/>
        <v>11955143.4</v>
      </c>
      <c r="K185" s="117">
        <f t="shared" si="308"/>
        <v>664174.6333333333</v>
      </c>
      <c r="L185" s="117">
        <f t="shared" si="308"/>
        <v>912659.62</v>
      </c>
      <c r="M185" s="117">
        <f t="shared" si="308"/>
        <v>691923.96966666682</v>
      </c>
      <c r="O185" s="117">
        <f t="shared" ref="O185:T185" si="309">+O168+O89+O69+O63+O43+O31+O157+O130+O122+O175+O179</f>
        <v>2630474.5500000003</v>
      </c>
      <c r="P185" s="117">
        <f t="shared" si="309"/>
        <v>503838.01399999997</v>
      </c>
      <c r="Q185" s="117">
        <f t="shared" si="309"/>
        <v>12230973.5</v>
      </c>
      <c r="R185" s="117">
        <f t="shared" si="309"/>
        <v>679498.52777777775</v>
      </c>
      <c r="S185" s="117">
        <f t="shared" si="309"/>
        <v>940456.31510940928</v>
      </c>
      <c r="T185" s="117">
        <f t="shared" si="309"/>
        <v>506681.69311281305</v>
      </c>
      <c r="V185" s="117">
        <f t="shared" ref="V185:AA185" si="310">+V168+V89+V69+V63+V43+V31+V157+V130+V122+V175+V179</f>
        <v>2794148.9399999995</v>
      </c>
      <c r="W185" s="117">
        <f t="shared" si="310"/>
        <v>531389.76919999998</v>
      </c>
      <c r="X185" s="117">
        <f t="shared" si="310"/>
        <v>11987756</v>
      </c>
      <c r="Y185" s="117">
        <f t="shared" si="310"/>
        <v>665986.4444444445</v>
      </c>
      <c r="Z185" s="117">
        <f t="shared" si="310"/>
        <v>1033154.657787914</v>
      </c>
      <c r="AA185" s="117">
        <f t="shared" si="310"/>
        <v>563618.06856764155</v>
      </c>
      <c r="AC185" s="117">
        <f t="shared" ref="AC185:AH185" si="311">+AC168+AC89+AC69+AC63+AC43+AC31+AC157+AC130+AC122+AC175+AC179</f>
        <v>8220460.3899999987</v>
      </c>
      <c r="AD185" s="117">
        <f t="shared" si="311"/>
        <v>1562306.4601999999</v>
      </c>
      <c r="AE185" s="117">
        <f t="shared" si="311"/>
        <v>9004855.4666666687</v>
      </c>
      <c r="AF185" s="117">
        <f t="shared" si="311"/>
        <v>2009659.6055555558</v>
      </c>
      <c r="AG185" s="117">
        <f t="shared" si="311"/>
        <v>2886270.5928973239</v>
      </c>
      <c r="AH185" s="117">
        <f t="shared" si="311"/>
        <v>1762223.7313471211</v>
      </c>
    </row>
    <row r="186" spans="1:34" s="117" customFormat="1" ht="15" hidden="1" customHeight="1" x14ac:dyDescent="0.2">
      <c r="D186" s="118"/>
      <c r="E186" s="118"/>
      <c r="F186" s="118"/>
      <c r="G186" s="142" t="s">
        <v>146</v>
      </c>
      <c r="H186" s="117">
        <v>2797248.1</v>
      </c>
      <c r="J186" s="117">
        <v>11976927</v>
      </c>
      <c r="L186" s="146">
        <f>+L185/H185</f>
        <v>0.32643521515865248</v>
      </c>
      <c r="O186" s="117">
        <v>2635150.85</v>
      </c>
      <c r="Q186" s="117">
        <v>12230973</v>
      </c>
      <c r="S186" s="146">
        <f>+S185/O185</f>
        <v>0.3575234419619871</v>
      </c>
      <c r="V186" s="117">
        <v>2790625.14</v>
      </c>
      <c r="X186" s="117">
        <v>11987755</v>
      </c>
      <c r="Z186" s="146">
        <f>+Z185/V185</f>
        <v>0.36975647324938743</v>
      </c>
    </row>
    <row r="187" spans="1:34" s="117" customFormat="1" ht="15" hidden="1" customHeight="1" x14ac:dyDescent="0.2">
      <c r="D187" s="118"/>
      <c r="E187" s="118"/>
      <c r="F187" s="118"/>
      <c r="G187" s="142" t="s">
        <v>42</v>
      </c>
      <c r="H187" s="117">
        <f>+H185-H186</f>
        <v>-1411.2000000001863</v>
      </c>
      <c r="J187" s="117">
        <f>+J185-J186</f>
        <v>-21783.599999999627</v>
      </c>
      <c r="O187" s="117">
        <f>+O185-O186</f>
        <v>-4676.2999999998137</v>
      </c>
      <c r="Q187" s="117">
        <f>+Q185-Q186</f>
        <v>0.5</v>
      </c>
      <c r="V187" s="140">
        <f>+V185-V186</f>
        <v>3523.7999999993481</v>
      </c>
      <c r="X187" s="117">
        <f>+X185-X186</f>
        <v>1</v>
      </c>
    </row>
    <row r="188" spans="1:34" s="117" customFormat="1" ht="8.1" hidden="1" customHeight="1" x14ac:dyDescent="0.2">
      <c r="D188" s="118"/>
      <c r="E188" s="118"/>
      <c r="F188" s="118"/>
      <c r="G188" s="118"/>
    </row>
    <row r="189" spans="1:34" s="117" customFormat="1" ht="15" hidden="1" customHeight="1" x14ac:dyDescent="0.35">
      <c r="D189" s="118"/>
      <c r="E189" s="118"/>
      <c r="F189" s="118"/>
      <c r="G189" s="118" t="s">
        <v>385</v>
      </c>
      <c r="H189" s="119">
        <v>1411</v>
      </c>
      <c r="I189" s="119"/>
      <c r="J189" s="135"/>
      <c r="K189" s="119"/>
      <c r="L189" s="119"/>
      <c r="M189" s="119"/>
      <c r="N189" s="119" t="s">
        <v>396</v>
      </c>
      <c r="O189" s="117">
        <v>4676.8</v>
      </c>
      <c r="U189" s="119" t="s">
        <v>396</v>
      </c>
      <c r="V189" s="119">
        <v>451.2</v>
      </c>
    </row>
    <row r="190" spans="1:34" s="43" customFormat="1" ht="15" hidden="1" customHeight="1" x14ac:dyDescent="0.2">
      <c r="D190" s="118"/>
      <c r="E190" s="120"/>
      <c r="F190" s="118"/>
      <c r="G190" s="120"/>
      <c r="H190" s="119">
        <f>+H187+H189</f>
        <v>-0.20000000018626451</v>
      </c>
      <c r="I190" s="65"/>
      <c r="J190" s="121"/>
      <c r="K190" s="119"/>
      <c r="L190" s="119"/>
      <c r="M190" s="119"/>
      <c r="N190" s="119"/>
      <c r="O190" s="43">
        <f>+O187+O189</f>
        <v>0.50000000018644641</v>
      </c>
      <c r="U190" s="147"/>
      <c r="V190" s="43">
        <f>+V187+V189</f>
        <v>3974.9999999993479</v>
      </c>
      <c r="AC190" s="117"/>
    </row>
    <row r="191" spans="1:34" s="43" customFormat="1" ht="15" customHeight="1" x14ac:dyDescent="0.2">
      <c r="D191" s="118"/>
      <c r="E191" s="120"/>
      <c r="F191" s="118"/>
      <c r="G191" s="120"/>
      <c r="H191" s="119"/>
      <c r="I191" s="72"/>
      <c r="J191" s="122"/>
      <c r="K191" s="119"/>
      <c r="L191" s="119"/>
      <c r="M191" s="119"/>
      <c r="N191" s="119"/>
      <c r="U191" s="147"/>
      <c r="V191" s="147"/>
      <c r="AC191" s="117"/>
    </row>
    <row r="192" spans="1:34" s="43" customFormat="1" ht="15" customHeight="1" x14ac:dyDescent="0.2">
      <c r="D192" s="118"/>
      <c r="E192" s="120"/>
      <c r="F192" s="118"/>
      <c r="G192" s="120"/>
      <c r="H192" s="119"/>
      <c r="I192" s="65"/>
      <c r="J192" s="119"/>
      <c r="K192" s="119"/>
      <c r="L192" s="119"/>
      <c r="M192" s="119"/>
      <c r="N192" s="119"/>
      <c r="U192" s="147"/>
      <c r="V192" s="147"/>
      <c r="AC192" s="117"/>
    </row>
    <row r="193" spans="4:29" s="43" customFormat="1" ht="15" customHeight="1" x14ac:dyDescent="0.2">
      <c r="D193" s="179"/>
      <c r="E193" s="179"/>
      <c r="F193" s="179"/>
      <c r="G193" s="123"/>
      <c r="H193" s="119"/>
      <c r="I193" s="65"/>
      <c r="J193" s="124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22"/>
      <c r="AC193" s="117"/>
    </row>
    <row r="194" spans="4:29" s="26" customFormat="1" ht="15" customHeight="1" x14ac:dyDescent="0.25">
      <c r="D194" s="67"/>
      <c r="E194" s="108"/>
      <c r="F194" s="109"/>
      <c r="G194" s="52"/>
      <c r="J194" s="125"/>
      <c r="M194" s="66"/>
      <c r="N194" s="66"/>
      <c r="Q194" s="125"/>
      <c r="X194" s="125"/>
    </row>
    <row r="195" spans="4:29" s="26" customFormat="1" x14ac:dyDescent="0.25">
      <c r="D195" s="110"/>
      <c r="E195" s="111"/>
      <c r="F195" s="111"/>
      <c r="I195" s="65"/>
      <c r="J195" s="27"/>
      <c r="M195" s="66"/>
      <c r="N195" s="66"/>
      <c r="P195" s="65"/>
      <c r="Q195" s="27"/>
      <c r="W195" s="65"/>
      <c r="X195" s="27"/>
      <c r="AA195" s="143"/>
    </row>
    <row r="196" spans="4:29" s="26" customFormat="1" ht="15.75" customHeight="1" x14ac:dyDescent="0.25">
      <c r="D196" s="110"/>
      <c r="E196" s="111"/>
      <c r="F196" s="112"/>
      <c r="I196" s="65"/>
      <c r="J196" s="27"/>
      <c r="M196" s="66"/>
      <c r="N196" s="66"/>
      <c r="P196" s="65"/>
      <c r="Q196" s="27"/>
      <c r="W196" s="65"/>
      <c r="X196" s="27"/>
    </row>
    <row r="197" spans="4:29" s="26" customFormat="1" ht="15.75" customHeight="1" x14ac:dyDescent="0.25">
      <c r="D197" s="52"/>
      <c r="E197" s="52"/>
      <c r="I197" s="72"/>
      <c r="J197" s="113"/>
      <c r="M197" s="66"/>
      <c r="N197" s="66"/>
      <c r="P197" s="72"/>
      <c r="Q197" s="113"/>
      <c r="W197" s="72"/>
      <c r="X197" s="113"/>
    </row>
    <row r="198" spans="4:29" s="26" customFormat="1" x14ac:dyDescent="0.25">
      <c r="D198" s="52"/>
      <c r="E198" s="52"/>
      <c r="I198" s="65"/>
      <c r="J198" s="27"/>
      <c r="K198" s="68"/>
      <c r="M198" s="66"/>
      <c r="N198" s="73"/>
      <c r="P198" s="65"/>
      <c r="Q198" s="27"/>
      <c r="W198" s="65"/>
      <c r="X198" s="27"/>
    </row>
    <row r="199" spans="4:29" s="26" customFormat="1" x14ac:dyDescent="0.25">
      <c r="D199" s="52"/>
      <c r="E199" s="52"/>
      <c r="I199" s="65"/>
      <c r="J199" s="114"/>
      <c r="K199" s="68"/>
      <c r="M199" s="66"/>
      <c r="N199" s="73"/>
      <c r="P199" s="65"/>
      <c r="Q199" s="114"/>
      <c r="W199" s="65"/>
      <c r="X199" s="114"/>
    </row>
    <row r="200" spans="4:29" s="26" customFormat="1" x14ac:dyDescent="0.25">
      <c r="D200" s="52"/>
      <c r="E200" s="52"/>
      <c r="I200" s="65"/>
      <c r="J200" s="27"/>
      <c r="K200" s="68"/>
      <c r="M200" s="66"/>
      <c r="N200" s="73"/>
      <c r="P200" s="65"/>
      <c r="Q200" s="27"/>
      <c r="W200" s="65"/>
      <c r="X200" s="27"/>
    </row>
    <row r="201" spans="4:29" s="26" customFormat="1" x14ac:dyDescent="0.25">
      <c r="D201" s="52"/>
      <c r="E201" s="52"/>
      <c r="I201" s="65"/>
      <c r="J201" s="114"/>
      <c r="M201" s="66"/>
      <c r="N201" s="73"/>
      <c r="P201" s="65"/>
      <c r="Q201" s="114"/>
      <c r="W201" s="65"/>
      <c r="X201" s="114"/>
    </row>
    <row r="202" spans="4:29" s="26" customFormat="1" x14ac:dyDescent="0.25">
      <c r="D202" s="52"/>
      <c r="E202" s="52"/>
      <c r="I202" s="65"/>
      <c r="J202" s="115"/>
      <c r="M202" s="66"/>
      <c r="N202" s="73"/>
      <c r="P202" s="65"/>
      <c r="Q202" s="115"/>
      <c r="W202" s="65"/>
      <c r="X202" s="115"/>
    </row>
    <row r="203" spans="4:29" s="26" customFormat="1" x14ac:dyDescent="0.25">
      <c r="D203" s="52"/>
      <c r="E203" s="52"/>
      <c r="I203" s="65"/>
      <c r="J203" s="113"/>
      <c r="M203" s="66"/>
      <c r="N203" s="116"/>
      <c r="P203" s="65"/>
      <c r="Q203" s="113"/>
      <c r="W203" s="65"/>
      <c r="X203" s="113"/>
    </row>
    <row r="204" spans="4:29" s="26" customFormat="1" x14ac:dyDescent="0.25">
      <c r="D204" s="52"/>
      <c r="E204" s="52"/>
      <c r="I204" s="65"/>
      <c r="J204" s="114"/>
      <c r="M204" s="66"/>
      <c r="N204" s="66"/>
      <c r="P204" s="65"/>
      <c r="Q204" s="114"/>
      <c r="W204" s="65"/>
      <c r="X204" s="114"/>
    </row>
    <row r="205" spans="4:29" s="26" customFormat="1" x14ac:dyDescent="0.25">
      <c r="D205" s="52"/>
      <c r="E205" s="52"/>
      <c r="M205" s="66"/>
      <c r="N205" s="66"/>
    </row>
    <row r="206" spans="4:29" s="26" customFormat="1" x14ac:dyDescent="0.25">
      <c r="D206" s="52"/>
      <c r="E206" s="52"/>
      <c r="M206" s="66"/>
      <c r="N206" s="66"/>
    </row>
    <row r="207" spans="4:29" s="26" customFormat="1" x14ac:dyDescent="0.25">
      <c r="D207" s="52"/>
      <c r="E207" s="52"/>
      <c r="M207" s="66"/>
      <c r="N207" s="66"/>
    </row>
    <row r="208" spans="4:29" s="26" customFormat="1" x14ac:dyDescent="0.25">
      <c r="D208" s="52"/>
      <c r="E208" s="52"/>
      <c r="M208" s="51"/>
      <c r="N208" s="51"/>
    </row>
    <row r="209" spans="4:14" s="26" customFormat="1" x14ac:dyDescent="0.25">
      <c r="D209" s="52"/>
      <c r="E209" s="52"/>
      <c r="M209" s="51"/>
      <c r="N209" s="51"/>
    </row>
    <row r="210" spans="4:14" s="26" customFormat="1" x14ac:dyDescent="0.25">
      <c r="D210" s="52"/>
      <c r="E210" s="52"/>
      <c r="M210" s="51"/>
      <c r="N210" s="51"/>
    </row>
    <row r="211" spans="4:14" s="26" customFormat="1" x14ac:dyDescent="0.25">
      <c r="D211" s="52"/>
      <c r="E211" s="52"/>
    </row>
    <row r="212" spans="4:14" s="26" customFormat="1" x14ac:dyDescent="0.25">
      <c r="D212" s="52"/>
      <c r="E212" s="52"/>
    </row>
    <row r="213" spans="4:14" s="26" customFormat="1" x14ac:dyDescent="0.25">
      <c r="D213" s="52"/>
      <c r="E213" s="52"/>
    </row>
    <row r="214" spans="4:14" s="26" customFormat="1" x14ac:dyDescent="0.25">
      <c r="D214" s="52"/>
      <c r="E214" s="52"/>
    </row>
    <row r="215" spans="4:14" s="26" customFormat="1" x14ac:dyDescent="0.25">
      <c r="D215" s="52"/>
      <c r="E215" s="52"/>
    </row>
    <row r="216" spans="4:14" s="26" customFormat="1" x14ac:dyDescent="0.25">
      <c r="D216" s="52"/>
      <c r="E216" s="52"/>
      <c r="F216" s="52"/>
      <c r="G216" s="52"/>
      <c r="M216" s="51"/>
      <c r="N216" s="51"/>
    </row>
    <row r="217" spans="4:14" s="26" customFormat="1" x14ac:dyDescent="0.25">
      <c r="D217" s="52"/>
      <c r="E217" s="52"/>
      <c r="F217" s="52"/>
      <c r="G217" s="52"/>
      <c r="M217" s="51"/>
      <c r="N217" s="51"/>
    </row>
    <row r="218" spans="4:14" s="26" customFormat="1" x14ac:dyDescent="0.25">
      <c r="D218" s="52"/>
      <c r="E218" s="52"/>
      <c r="F218" s="52"/>
      <c r="G218" s="52"/>
      <c r="M218" s="51"/>
      <c r="N218" s="51"/>
    </row>
    <row r="219" spans="4:14" s="26" customFormat="1" x14ac:dyDescent="0.25">
      <c r="D219" s="52"/>
      <c r="E219" s="52"/>
      <c r="F219" s="52"/>
      <c r="G219" s="52"/>
      <c r="M219" s="51"/>
      <c r="N219" s="51"/>
    </row>
    <row r="220" spans="4:14" s="26" customFormat="1" x14ac:dyDescent="0.25">
      <c r="D220" s="52"/>
      <c r="E220" s="52"/>
      <c r="F220" s="52"/>
      <c r="G220" s="52"/>
      <c r="M220" s="51"/>
      <c r="N220" s="51"/>
    </row>
    <row r="221" spans="4:14" s="26" customFormat="1" x14ac:dyDescent="0.25">
      <c r="D221" s="52"/>
      <c r="E221" s="52"/>
      <c r="F221" s="52"/>
      <c r="G221" s="52"/>
      <c r="M221" s="51"/>
      <c r="N221" s="51"/>
    </row>
    <row r="222" spans="4:14" s="26" customFormat="1" x14ac:dyDescent="0.25">
      <c r="D222" s="52"/>
      <c r="E222" s="52"/>
      <c r="F222" s="52"/>
      <c r="G222" s="52"/>
      <c r="M222" s="51"/>
      <c r="N222" s="51"/>
    </row>
    <row r="223" spans="4:14" s="26" customFormat="1" x14ac:dyDescent="0.25">
      <c r="D223" s="52"/>
      <c r="E223" s="52"/>
      <c r="F223" s="52"/>
      <c r="G223" s="52"/>
      <c r="M223" s="51"/>
      <c r="N223" s="51"/>
    </row>
    <row r="224" spans="4:14" s="26" customFormat="1" x14ac:dyDescent="0.25">
      <c r="D224" s="52"/>
      <c r="E224" s="52"/>
      <c r="F224" s="52"/>
      <c r="G224" s="52"/>
      <c r="M224" s="51"/>
      <c r="N224" s="51"/>
    </row>
    <row r="225" spans="4:14" s="26" customFormat="1" x14ac:dyDescent="0.25">
      <c r="D225" s="52"/>
      <c r="E225" s="52"/>
      <c r="F225" s="52"/>
      <c r="G225" s="52"/>
      <c r="M225" s="51"/>
      <c r="N225" s="51"/>
    </row>
    <row r="226" spans="4:14" s="26" customFormat="1" x14ac:dyDescent="0.25">
      <c r="D226" s="52"/>
      <c r="E226" s="52"/>
      <c r="F226" s="52"/>
      <c r="G226" s="52"/>
      <c r="M226" s="51"/>
      <c r="N226" s="51"/>
    </row>
    <row r="227" spans="4:14" s="26" customFormat="1" x14ac:dyDescent="0.25">
      <c r="D227" s="52"/>
      <c r="E227" s="52"/>
      <c r="F227" s="52"/>
      <c r="G227" s="52"/>
      <c r="M227" s="51"/>
      <c r="N227" s="51"/>
    </row>
    <row r="228" spans="4:14" s="26" customFormat="1" x14ac:dyDescent="0.25">
      <c r="D228" s="52"/>
      <c r="E228" s="52"/>
      <c r="F228" s="52"/>
      <c r="G228" s="52"/>
      <c r="M228" s="51"/>
      <c r="N228" s="51"/>
    </row>
    <row r="229" spans="4:14" s="26" customFormat="1" x14ac:dyDescent="0.25">
      <c r="D229" s="52"/>
      <c r="E229" s="52"/>
      <c r="F229" s="52"/>
      <c r="G229" s="52"/>
      <c r="M229" s="51"/>
      <c r="N229" s="51"/>
    </row>
    <row r="230" spans="4:14" s="26" customFormat="1" x14ac:dyDescent="0.25">
      <c r="D230" s="52"/>
      <c r="E230" s="52"/>
      <c r="F230" s="52"/>
      <c r="G230" s="52"/>
      <c r="M230" s="51"/>
      <c r="N230" s="51"/>
    </row>
  </sheetData>
  <mergeCells count="5">
    <mergeCell ref="H2:N2"/>
    <mergeCell ref="O2:U2"/>
    <mergeCell ref="V2:AB2"/>
    <mergeCell ref="D193:F193"/>
    <mergeCell ref="AC2:AH2"/>
  </mergeCells>
  <pageMargins left="0.2" right="0.2" top="0.5" bottom="0.5" header="0.3" footer="0.3"/>
  <pageSetup scale="44" fitToHeight="0" orientation="landscape" r:id="rId1"/>
  <headerFooter>
    <oddHeader>&amp;R&amp;"-,Bold"&amp;UConfidential</oddHeader>
    <oddFooter>&amp;L&amp;8&amp;Z&amp;F&amp;C&amp;8&amp;A&amp;R&amp;8&amp;D</oddFooter>
  </headerFooter>
  <rowBreaks count="6" manualBreakCount="6">
    <brk id="44" min="1" max="34" man="1"/>
    <brk id="70" min="1" max="33" man="1"/>
    <brk id="90" min="1" max="34" man="1"/>
    <brk id="131" min="1" max="34" man="1"/>
    <brk id="158" min="1" max="34" man="1"/>
    <brk id="176" min="1" max="3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Q3 2025</vt:lpstr>
      <vt:lpstr>'Q3 2025'!Print_Area</vt:lpstr>
      <vt:lpstr>'Q3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Cole</dc:creator>
  <cp:lastModifiedBy>Matt Cole</cp:lastModifiedBy>
  <cp:lastPrinted>2025-10-06T20:03:02Z</cp:lastPrinted>
  <dcterms:created xsi:type="dcterms:W3CDTF">2018-04-02T17:57:59Z</dcterms:created>
  <dcterms:modified xsi:type="dcterms:W3CDTF">2025-10-23T13:56:55Z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